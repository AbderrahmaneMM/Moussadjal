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LL\source\repos\AbderrahmaneMM\Moussadjal\"/>
    </mc:Choice>
  </mc:AlternateContent>
  <xr:revisionPtr revIDLastSave="0" documentId="13_ncr:1_{12CCD041-FB30-44BB-B2B7-52FE3C6A537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1449" i="1" l="1"/>
  <c r="BK1449" i="1" s="1"/>
  <c r="BH1448" i="1"/>
  <c r="BK1448" i="1" s="1"/>
  <c r="BH1447" i="1"/>
  <c r="BK1447" i="1" s="1"/>
  <c r="BH1446" i="1"/>
  <c r="BK1446" i="1" s="1"/>
  <c r="BH1445" i="1"/>
  <c r="BK1445" i="1" s="1"/>
  <c r="BK1444" i="1"/>
  <c r="BH1444" i="1"/>
  <c r="BH1443" i="1"/>
  <c r="BK1443" i="1" s="1"/>
  <c r="BH1442" i="1"/>
  <c r="BK1442" i="1" s="1"/>
  <c r="BH1441" i="1"/>
  <c r="BK1441" i="1" s="1"/>
  <c r="BH1440" i="1"/>
  <c r="BK1440" i="1" s="1"/>
  <c r="BH1439" i="1"/>
  <c r="BK1439" i="1" s="1"/>
  <c r="BH1438" i="1"/>
  <c r="BK1438" i="1" s="1"/>
  <c r="BH1437" i="1"/>
  <c r="BK1437" i="1" s="1"/>
  <c r="BK1436" i="1"/>
  <c r="BH1436" i="1"/>
  <c r="BH1435" i="1"/>
  <c r="BK1435" i="1" s="1"/>
  <c r="BH1434" i="1"/>
  <c r="BK1434" i="1" s="1"/>
  <c r="BH1433" i="1"/>
  <c r="BK1433" i="1" s="1"/>
  <c r="BH1432" i="1"/>
  <c r="BK1432" i="1" s="1"/>
  <c r="BH1431" i="1"/>
  <c r="BK1431" i="1" s="1"/>
  <c r="BH1430" i="1"/>
  <c r="BK1430" i="1" s="1"/>
  <c r="BH1429" i="1"/>
  <c r="BK1429" i="1" s="1"/>
  <c r="BK1428" i="1"/>
  <c r="BH1428" i="1"/>
  <c r="BH1427" i="1"/>
  <c r="BK1427" i="1" s="1"/>
  <c r="BH1426" i="1"/>
  <c r="BK1426" i="1" s="1"/>
  <c r="BH1425" i="1"/>
  <c r="BK1425" i="1" s="1"/>
  <c r="BK1424" i="1"/>
  <c r="BK1423" i="1"/>
  <c r="BH1423" i="1"/>
  <c r="BH1422" i="1"/>
  <c r="BK1422" i="1" s="1"/>
  <c r="BK1421" i="1"/>
  <c r="BH1421" i="1"/>
  <c r="BH1420" i="1"/>
  <c r="BK1420" i="1" s="1"/>
  <c r="BK1402" i="1"/>
  <c r="BH1402" i="1"/>
  <c r="BH1401" i="1"/>
  <c r="BK1401" i="1" s="1"/>
  <c r="BK1400" i="1"/>
  <c r="BH1400" i="1"/>
  <c r="BH1399" i="1"/>
  <c r="BK1399" i="1" s="1"/>
  <c r="BK1398" i="1"/>
  <c r="BH1398" i="1"/>
  <c r="BH1397" i="1"/>
  <c r="BK1397" i="1" s="1"/>
  <c r="BK1396" i="1"/>
  <c r="BH1396" i="1"/>
  <c r="BH1395" i="1"/>
  <c r="BK1395" i="1" s="1"/>
  <c r="BK1394" i="1"/>
  <c r="BH1394" i="1"/>
  <c r="BH1393" i="1"/>
  <c r="BK1393" i="1" s="1"/>
  <c r="BK1392" i="1"/>
  <c r="BH1392" i="1"/>
  <c r="BH1391" i="1"/>
  <c r="BK1391" i="1" s="1"/>
  <c r="BK1390" i="1"/>
  <c r="BH1390" i="1"/>
  <c r="BH1389" i="1"/>
  <c r="BK1389" i="1" s="1"/>
  <c r="BK1388" i="1"/>
  <c r="BH1388" i="1"/>
  <c r="BH1387" i="1"/>
  <c r="BK1387" i="1" s="1"/>
  <c r="BK1386" i="1"/>
  <c r="BH1385" i="1"/>
  <c r="BK1385" i="1" s="1"/>
  <c r="BH1384" i="1"/>
  <c r="BK1384" i="1" s="1"/>
  <c r="BH1383" i="1"/>
  <c r="BK1383" i="1" s="1"/>
  <c r="BH1382" i="1"/>
  <c r="BK1382" i="1" s="1"/>
  <c r="BH1381" i="1"/>
  <c r="BK1381" i="1" s="1"/>
  <c r="BH1380" i="1"/>
  <c r="BK1380" i="1" s="1"/>
  <c r="BH1379" i="1"/>
  <c r="BK1379" i="1" s="1"/>
  <c r="BK1378" i="1"/>
  <c r="BH1378" i="1"/>
  <c r="BH1377" i="1"/>
  <c r="BK1377" i="1" s="1"/>
  <c r="BH1376" i="1"/>
  <c r="BK1376" i="1" s="1"/>
  <c r="BH1375" i="1"/>
  <c r="BK1375" i="1" s="1"/>
  <c r="BH1374" i="1"/>
  <c r="BK1374" i="1" s="1"/>
  <c r="BH1373" i="1"/>
  <c r="BK1373" i="1" s="1"/>
  <c r="BH1355" i="1"/>
  <c r="BK1355" i="1" s="1"/>
  <c r="BH1354" i="1"/>
  <c r="BK1354" i="1" s="1"/>
  <c r="BK1353" i="1"/>
  <c r="BH1353" i="1"/>
  <c r="BH1352" i="1"/>
  <c r="BK1352" i="1" s="1"/>
  <c r="BH1351" i="1"/>
  <c r="BK1351" i="1" s="1"/>
  <c r="BH1350" i="1"/>
  <c r="BK1350" i="1" s="1"/>
  <c r="BH1349" i="1"/>
  <c r="BK1349" i="1" s="1"/>
  <c r="BH1348" i="1"/>
  <c r="BK1348" i="1" s="1"/>
  <c r="BH1347" i="1"/>
  <c r="BK1347" i="1" s="1"/>
  <c r="BH1346" i="1"/>
  <c r="BK1346" i="1" s="1"/>
  <c r="BK1345" i="1"/>
  <c r="BH1345" i="1"/>
  <c r="BH1344" i="1"/>
  <c r="BK1344" i="1" s="1"/>
  <c r="BH1343" i="1"/>
  <c r="BK1343" i="1" s="1"/>
  <c r="BH1342" i="1"/>
  <c r="BK1342" i="1" s="1"/>
  <c r="BH1341" i="1"/>
  <c r="BK1341" i="1" s="1"/>
  <c r="BH1340" i="1"/>
  <c r="BK1340" i="1" s="1"/>
  <c r="BH1339" i="1"/>
  <c r="BK1339" i="1" s="1"/>
  <c r="BH1338" i="1"/>
  <c r="BK1338" i="1" s="1"/>
  <c r="BK1337" i="1"/>
  <c r="BH1337" i="1"/>
  <c r="BH1336" i="1"/>
  <c r="BK1336" i="1" s="1"/>
  <c r="BH1335" i="1"/>
  <c r="BK1335" i="1" s="1"/>
  <c r="BH1334" i="1"/>
  <c r="BK1334" i="1" s="1"/>
  <c r="BH1333" i="1"/>
  <c r="BK1333" i="1" s="1"/>
  <c r="BH1332" i="1"/>
  <c r="BK1332" i="1" s="1"/>
  <c r="BH1331" i="1"/>
  <c r="BK1331" i="1" s="1"/>
  <c r="BH1330" i="1"/>
  <c r="BK1330" i="1" s="1"/>
  <c r="BK1329" i="1"/>
  <c r="BH1329" i="1"/>
  <c r="BH1328" i="1"/>
  <c r="BK1328" i="1" s="1"/>
  <c r="BH1327" i="1"/>
  <c r="BK1327" i="1" s="1"/>
  <c r="BH1326" i="1"/>
  <c r="BK1326" i="1" s="1"/>
  <c r="BH1308" i="1"/>
  <c r="BK1308" i="1" s="1"/>
  <c r="BH1307" i="1"/>
  <c r="BK1307" i="1" s="1"/>
  <c r="BH1306" i="1"/>
  <c r="BK1306" i="1" s="1"/>
  <c r="BH1305" i="1"/>
  <c r="BK1305" i="1" s="1"/>
  <c r="BK1304" i="1"/>
  <c r="BH1304" i="1"/>
  <c r="BH1303" i="1"/>
  <c r="BK1303" i="1" s="1"/>
  <c r="BH1302" i="1"/>
  <c r="BK1302" i="1" s="1"/>
  <c r="BH1301" i="1"/>
  <c r="BK1301" i="1" s="1"/>
  <c r="BH1300" i="1"/>
  <c r="BK1300" i="1" s="1"/>
  <c r="BH1299" i="1"/>
  <c r="BK1299" i="1" s="1"/>
  <c r="BH1298" i="1"/>
  <c r="BK1298" i="1" s="1"/>
  <c r="BH1297" i="1"/>
  <c r="BK1297" i="1" s="1"/>
  <c r="BK1296" i="1"/>
  <c r="BH1296" i="1"/>
  <c r="BH1295" i="1"/>
  <c r="BK1295" i="1" s="1"/>
  <c r="BH1294" i="1"/>
  <c r="BK1294" i="1" s="1"/>
  <c r="BH1293" i="1"/>
  <c r="BK1293" i="1" s="1"/>
  <c r="BH1292" i="1"/>
  <c r="BK1292" i="1" s="1"/>
  <c r="BH1291" i="1"/>
  <c r="BK1291" i="1" s="1"/>
  <c r="BH1290" i="1"/>
  <c r="BK1290" i="1" s="1"/>
  <c r="BH1289" i="1"/>
  <c r="BK1289" i="1" s="1"/>
  <c r="BK1288" i="1"/>
  <c r="BH1288" i="1"/>
  <c r="BH1287" i="1"/>
  <c r="BK1287" i="1" s="1"/>
  <c r="BH1286" i="1"/>
  <c r="BK1286" i="1" s="1"/>
  <c r="BH1285" i="1"/>
  <c r="BK1285" i="1" s="1"/>
  <c r="BH1284" i="1"/>
  <c r="BK1284" i="1" s="1"/>
  <c r="BH1283" i="1"/>
  <c r="BK1283" i="1" s="1"/>
  <c r="BH1282" i="1"/>
  <c r="BK1282" i="1" s="1"/>
  <c r="BH1281" i="1"/>
  <c r="BK1281" i="1" s="1"/>
  <c r="BK1280" i="1"/>
  <c r="BH1280" i="1"/>
  <c r="BH1279" i="1"/>
  <c r="BK1279" i="1" s="1"/>
  <c r="BH1261" i="1"/>
  <c r="BK1261" i="1" s="1"/>
  <c r="BH1260" i="1"/>
  <c r="BK1260" i="1" s="1"/>
  <c r="BH1259" i="1"/>
  <c r="BK1259" i="1" s="1"/>
  <c r="BH1258" i="1"/>
  <c r="BK1258" i="1" s="1"/>
  <c r="BH1257" i="1"/>
  <c r="BK1257" i="1" s="1"/>
  <c r="BH1256" i="1"/>
  <c r="BK1256" i="1" s="1"/>
  <c r="BK1255" i="1"/>
  <c r="BH1255" i="1"/>
  <c r="BH1254" i="1"/>
  <c r="BK1254" i="1" s="1"/>
  <c r="BH1253" i="1"/>
  <c r="BK1253" i="1" s="1"/>
  <c r="BH1252" i="1"/>
  <c r="BK1252" i="1" s="1"/>
  <c r="BH1251" i="1"/>
  <c r="BK1251" i="1" s="1"/>
  <c r="BH1250" i="1"/>
  <c r="BK1250" i="1" s="1"/>
  <c r="BH1249" i="1"/>
  <c r="BK1249" i="1" s="1"/>
  <c r="BH1248" i="1"/>
  <c r="BK1248" i="1" s="1"/>
  <c r="BK1247" i="1"/>
  <c r="BH1247" i="1"/>
  <c r="BH1246" i="1"/>
  <c r="BK1246" i="1" s="1"/>
  <c r="BH1245" i="1"/>
  <c r="BK1245" i="1" s="1"/>
  <c r="BH1244" i="1"/>
  <c r="BK1244" i="1" s="1"/>
  <c r="BH1243" i="1"/>
  <c r="BK1243" i="1" s="1"/>
  <c r="BH1242" i="1"/>
  <c r="BK1242" i="1" s="1"/>
  <c r="BH1241" i="1"/>
  <c r="BK1241" i="1" s="1"/>
  <c r="BH1240" i="1"/>
  <c r="BK1240" i="1" s="1"/>
  <c r="BK1239" i="1"/>
  <c r="BH1239" i="1"/>
  <c r="BH1238" i="1"/>
  <c r="BK1238" i="1" s="1"/>
  <c r="BH1237" i="1"/>
  <c r="BK1237" i="1" s="1"/>
  <c r="BH1236" i="1"/>
  <c r="BK1236" i="1" s="1"/>
  <c r="BH1235" i="1"/>
  <c r="BK1235" i="1" s="1"/>
  <c r="BH1234" i="1"/>
  <c r="BK1234" i="1" s="1"/>
  <c r="BH1233" i="1"/>
  <c r="BK1233" i="1" s="1"/>
  <c r="BH1232" i="1"/>
  <c r="BK1232" i="1" s="1"/>
  <c r="BK1215" i="1"/>
  <c r="BH1215" i="1"/>
  <c r="BH1214" i="1"/>
  <c r="BK1214" i="1" s="1"/>
  <c r="BH1213" i="1"/>
  <c r="BK1213" i="1" s="1"/>
  <c r="BH1212" i="1"/>
  <c r="BK1212" i="1" s="1"/>
  <c r="BH1211" i="1"/>
  <c r="BK1211" i="1" s="1"/>
  <c r="BH1210" i="1"/>
  <c r="BK1210" i="1" s="1"/>
  <c r="BH1209" i="1"/>
  <c r="BK1209" i="1" s="1"/>
  <c r="BH1208" i="1"/>
  <c r="BK1208" i="1" s="1"/>
  <c r="BK1207" i="1"/>
  <c r="BH1207" i="1"/>
  <c r="BH1206" i="1"/>
  <c r="BK1206" i="1" s="1"/>
  <c r="BH1205" i="1"/>
  <c r="BK1205" i="1" s="1"/>
  <c r="BH1204" i="1"/>
  <c r="BK1204" i="1" s="1"/>
  <c r="BH1203" i="1"/>
  <c r="BK1203" i="1" s="1"/>
  <c r="BH1202" i="1"/>
  <c r="BK1202" i="1" s="1"/>
  <c r="BH1201" i="1"/>
  <c r="BK1201" i="1" s="1"/>
  <c r="BH1200" i="1"/>
  <c r="BK1200" i="1" s="1"/>
  <c r="BK1199" i="1"/>
  <c r="BH1199" i="1"/>
  <c r="BH1198" i="1"/>
  <c r="BK1198" i="1" s="1"/>
  <c r="BH1197" i="1"/>
  <c r="BK1197" i="1" s="1"/>
  <c r="BH1196" i="1"/>
  <c r="BK1196" i="1" s="1"/>
  <c r="BH1195" i="1"/>
  <c r="BK1195" i="1" s="1"/>
  <c r="BH1194" i="1"/>
  <c r="BK1194" i="1" s="1"/>
  <c r="BH1193" i="1"/>
  <c r="BK1193" i="1" s="1"/>
  <c r="BK1192" i="1"/>
  <c r="BH1191" i="1"/>
  <c r="BK1191" i="1" s="1"/>
  <c r="BK1190" i="1"/>
  <c r="BH1190" i="1"/>
  <c r="BH1189" i="1"/>
  <c r="BK1189" i="1" s="1"/>
  <c r="BK1188" i="1"/>
  <c r="BH1188" i="1"/>
  <c r="BH1187" i="1"/>
  <c r="BK1187" i="1" s="1"/>
  <c r="BK1186" i="1"/>
  <c r="BH1186" i="1"/>
  <c r="BH1168" i="1"/>
  <c r="BK1168" i="1" s="1"/>
  <c r="BK1167" i="1"/>
  <c r="BH1167" i="1"/>
  <c r="BK1166" i="1"/>
  <c r="BH1166" i="1"/>
  <c r="BK1165" i="1"/>
  <c r="BH1165" i="1"/>
  <c r="BK1164" i="1"/>
  <c r="BH1164" i="1"/>
  <c r="BK1163" i="1"/>
  <c r="BH1163" i="1"/>
  <c r="BK1162" i="1"/>
  <c r="BH1162" i="1"/>
  <c r="BK1161" i="1"/>
  <c r="BH1161" i="1"/>
  <c r="BK1160" i="1"/>
  <c r="BH1160" i="1"/>
  <c r="BK1159" i="1"/>
  <c r="BH1159" i="1"/>
  <c r="BK1158" i="1"/>
  <c r="BH1158" i="1"/>
  <c r="BK1157" i="1"/>
  <c r="BH1157" i="1"/>
  <c r="BK1156" i="1"/>
  <c r="BH1156" i="1"/>
  <c r="BK1155" i="1"/>
  <c r="BH1155" i="1"/>
  <c r="BK1154" i="1"/>
  <c r="BH1154" i="1"/>
  <c r="BK1153" i="1"/>
  <c r="BH1153" i="1"/>
  <c r="BK1152" i="1"/>
  <c r="BH1152" i="1"/>
  <c r="BK1151" i="1"/>
  <c r="BH1151" i="1"/>
  <c r="BK1150" i="1"/>
  <c r="BH1150" i="1"/>
  <c r="BK1149" i="1"/>
  <c r="BH1149" i="1"/>
  <c r="BK1148" i="1"/>
  <c r="BH1148" i="1"/>
  <c r="BK1147" i="1"/>
  <c r="BH1147" i="1"/>
  <c r="BK1146" i="1"/>
  <c r="BH1146" i="1"/>
  <c r="BK1145" i="1"/>
  <c r="BH1145" i="1"/>
  <c r="BK1144" i="1"/>
  <c r="BH1144" i="1"/>
  <c r="BK1143" i="1"/>
  <c r="BH1143" i="1"/>
  <c r="BK1142" i="1"/>
  <c r="BH1142" i="1"/>
  <c r="BK1141" i="1"/>
  <c r="BH1141" i="1"/>
  <c r="BK1140" i="1"/>
  <c r="BH1140" i="1"/>
  <c r="BK1139" i="1"/>
  <c r="BH1139" i="1"/>
  <c r="BK1121" i="1"/>
  <c r="BK1120" i="1"/>
  <c r="BK1119" i="1"/>
  <c r="BK1118" i="1"/>
  <c r="BK1117" i="1"/>
  <c r="BK1116" i="1"/>
  <c r="BK1115" i="1"/>
  <c r="BK1114" i="1"/>
  <c r="BK1113" i="1"/>
  <c r="BK1112" i="1"/>
  <c r="BK1111" i="1"/>
  <c r="BK1110" i="1"/>
  <c r="BK1109" i="1"/>
  <c r="BK1108" i="1"/>
  <c r="BK1107" i="1"/>
  <c r="BK1106" i="1"/>
  <c r="BK1105" i="1"/>
  <c r="BK1104" i="1"/>
  <c r="BK1103" i="1"/>
  <c r="BK1102" i="1"/>
  <c r="BK1101" i="1"/>
  <c r="BK1100" i="1"/>
  <c r="BK1098" i="1"/>
  <c r="BH1098" i="1"/>
  <c r="BK1097" i="1"/>
  <c r="BH1097" i="1"/>
  <c r="BK1096" i="1"/>
  <c r="BH1096" i="1"/>
  <c r="BK1095" i="1"/>
  <c r="BH1095" i="1"/>
  <c r="BK1094" i="1"/>
  <c r="BH1094" i="1"/>
  <c r="BK1093" i="1"/>
  <c r="BH1093" i="1"/>
  <c r="BK1092" i="1"/>
  <c r="BH1092" i="1"/>
  <c r="BK1074" i="1"/>
  <c r="BH1074" i="1"/>
  <c r="BK1073" i="1"/>
  <c r="BH1073" i="1"/>
  <c r="BK1072" i="1"/>
  <c r="BH1072" i="1"/>
  <c r="BK1071" i="1"/>
  <c r="BH1071" i="1"/>
  <c r="BK1070" i="1"/>
  <c r="BH1070" i="1"/>
  <c r="BK1069" i="1"/>
  <c r="BH1069" i="1"/>
  <c r="BK1068" i="1"/>
  <c r="BH1068" i="1"/>
  <c r="BK1067" i="1"/>
  <c r="BH1067" i="1"/>
  <c r="BK1066" i="1"/>
  <c r="BH1066" i="1"/>
  <c r="BK1065" i="1"/>
  <c r="BH1065" i="1"/>
  <c r="BK1064" i="1"/>
  <c r="BH1064" i="1"/>
  <c r="BK1063" i="1"/>
  <c r="BH1063" i="1"/>
  <c r="BK1062" i="1"/>
  <c r="BH1062" i="1"/>
  <c r="BK1061" i="1"/>
  <c r="BH1061" i="1"/>
  <c r="BK1060" i="1"/>
  <c r="BH1060" i="1"/>
  <c r="BK1059" i="1"/>
  <c r="BH1059" i="1"/>
  <c r="BK1058" i="1"/>
  <c r="BH1058" i="1"/>
  <c r="BK1057" i="1"/>
  <c r="BH1057" i="1"/>
  <c r="BK1056" i="1"/>
  <c r="BH1056" i="1"/>
  <c r="BK1055" i="1"/>
  <c r="BH1055" i="1"/>
  <c r="BK1054" i="1"/>
  <c r="BH1054" i="1"/>
  <c r="BK1053" i="1"/>
  <c r="BH1053" i="1"/>
  <c r="BK1052" i="1"/>
  <c r="BH1052" i="1"/>
  <c r="BK1051" i="1"/>
  <c r="BH1051" i="1"/>
  <c r="BK1050" i="1"/>
  <c r="BH1050" i="1"/>
  <c r="BK1049" i="1"/>
  <c r="BH1049" i="1"/>
  <c r="BK1048" i="1"/>
  <c r="BH1048" i="1"/>
  <c r="BK1047" i="1"/>
  <c r="BH1047" i="1"/>
  <c r="BK1046" i="1"/>
  <c r="BH1046" i="1"/>
  <c r="BK1045" i="1"/>
  <c r="BH1045" i="1"/>
  <c r="BK1027" i="1"/>
  <c r="BH1027" i="1"/>
  <c r="BK1026" i="1"/>
  <c r="BH1026" i="1"/>
  <c r="BK1025" i="1"/>
  <c r="BH1025" i="1"/>
  <c r="BK1024" i="1"/>
  <c r="BH1024" i="1"/>
  <c r="BK1023" i="1"/>
  <c r="BH1023" i="1"/>
  <c r="BK1022" i="1"/>
  <c r="BH1022" i="1"/>
  <c r="BK1021" i="1"/>
  <c r="BH1021" i="1"/>
  <c r="BK1020" i="1"/>
  <c r="BH1020" i="1"/>
  <c r="BK1019" i="1"/>
  <c r="BH1019" i="1"/>
  <c r="BK1018" i="1"/>
  <c r="BH1018" i="1"/>
  <c r="BK1017" i="1"/>
  <c r="BH1017" i="1"/>
  <c r="BK1016" i="1"/>
  <c r="BH1016" i="1"/>
  <c r="BK1015" i="1"/>
  <c r="BH1015" i="1"/>
  <c r="BK1014" i="1"/>
  <c r="BH1014" i="1"/>
  <c r="BK1013" i="1"/>
  <c r="BH1013" i="1"/>
  <c r="BK1012" i="1"/>
  <c r="BH1012" i="1"/>
  <c r="BK1011" i="1"/>
  <c r="BH1011" i="1"/>
  <c r="BK1010" i="1"/>
  <c r="BH1010" i="1"/>
  <c r="BK1009" i="1"/>
  <c r="BH1009" i="1"/>
  <c r="BK1008" i="1"/>
  <c r="BH1008" i="1"/>
  <c r="BK1007" i="1"/>
  <c r="BH1007" i="1"/>
  <c r="BK1006" i="1"/>
  <c r="BH1006" i="1"/>
  <c r="BK1005" i="1"/>
  <c r="BH1005" i="1"/>
  <c r="BK1004" i="1"/>
  <c r="BH1004" i="1"/>
  <c r="BK1003" i="1"/>
  <c r="BH1003" i="1"/>
  <c r="BK1002" i="1"/>
  <c r="BH1002" i="1"/>
  <c r="BK1001" i="1"/>
  <c r="BH1001" i="1"/>
  <c r="BK1000" i="1"/>
  <c r="BH1000" i="1"/>
  <c r="BK999" i="1"/>
  <c r="BH999" i="1"/>
  <c r="BK998" i="1"/>
  <c r="BH998" i="1"/>
  <c r="BK980" i="1"/>
  <c r="BH980" i="1"/>
  <c r="BK979" i="1"/>
  <c r="BH979" i="1"/>
  <c r="BK978" i="1"/>
  <c r="BH978" i="1"/>
  <c r="BK977" i="1"/>
  <c r="BH977" i="1"/>
  <c r="BK976" i="1"/>
  <c r="BH976" i="1"/>
  <c r="BK975" i="1"/>
  <c r="BH975" i="1"/>
  <c r="BK974" i="1"/>
  <c r="BH974" i="1"/>
  <c r="BK973" i="1"/>
  <c r="BH973" i="1"/>
  <c r="BK972" i="1"/>
  <c r="BH972" i="1"/>
  <c r="BK971" i="1"/>
  <c r="BH971" i="1"/>
  <c r="BK970" i="1"/>
  <c r="BH970" i="1"/>
  <c r="BK969" i="1"/>
  <c r="BH969" i="1"/>
  <c r="BK968" i="1"/>
  <c r="BH968" i="1"/>
  <c r="BK967" i="1"/>
  <c r="BH967" i="1"/>
  <c r="BK966" i="1"/>
  <c r="BH966" i="1"/>
  <c r="BK965" i="1"/>
  <c r="BH965" i="1"/>
  <c r="BK964" i="1"/>
  <c r="BH964" i="1"/>
  <c r="BK963" i="1"/>
  <c r="BH963" i="1"/>
  <c r="BK962" i="1"/>
  <c r="BH962" i="1"/>
  <c r="BK961" i="1"/>
  <c r="BH960" i="1"/>
  <c r="BK960" i="1" s="1"/>
  <c r="BK959" i="1"/>
  <c r="BH959" i="1"/>
  <c r="BH958" i="1"/>
  <c r="BK958" i="1" s="1"/>
  <c r="BH957" i="1"/>
  <c r="BK957" i="1" s="1"/>
  <c r="BH956" i="1"/>
  <c r="BK956" i="1" s="1"/>
  <c r="BH955" i="1"/>
  <c r="BK955" i="1" s="1"/>
  <c r="BH954" i="1"/>
  <c r="BK954" i="1" s="1"/>
  <c r="BK953" i="1"/>
  <c r="BH953" i="1"/>
  <c r="BH952" i="1"/>
  <c r="BK952" i="1" s="1"/>
  <c r="BK951" i="1"/>
  <c r="BH951" i="1"/>
  <c r="BH917" i="1"/>
  <c r="BK917" i="1" s="1"/>
  <c r="BH916" i="1"/>
  <c r="BK916" i="1" s="1"/>
  <c r="BH915" i="1"/>
  <c r="BK915" i="1" s="1"/>
  <c r="BH914" i="1"/>
  <c r="BK914" i="1" s="1"/>
  <c r="BH913" i="1"/>
  <c r="BK913" i="1" s="1"/>
  <c r="BK912" i="1"/>
  <c r="BH912" i="1"/>
  <c r="BH911" i="1"/>
  <c r="BK911" i="1" s="1"/>
  <c r="BK910" i="1"/>
  <c r="BH910" i="1"/>
  <c r="BK909" i="1"/>
  <c r="BH908" i="1"/>
  <c r="BK908" i="1" s="1"/>
  <c r="BK907" i="1"/>
  <c r="BH907" i="1"/>
  <c r="BH906" i="1"/>
  <c r="BK906" i="1" s="1"/>
  <c r="BK905" i="1"/>
  <c r="BH905" i="1"/>
  <c r="BH904" i="1"/>
  <c r="BK904" i="1" s="1"/>
  <c r="BK903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K825" i="1"/>
  <c r="BH825" i="1"/>
  <c r="BH824" i="1"/>
  <c r="BK824" i="1" s="1"/>
  <c r="BK823" i="1"/>
  <c r="BH823" i="1"/>
  <c r="BH822" i="1"/>
  <c r="BK822" i="1" s="1"/>
  <c r="BK821" i="1"/>
  <c r="BH821" i="1"/>
  <c r="BH820" i="1"/>
  <c r="BK820" i="1" s="1"/>
  <c r="BK819" i="1"/>
  <c r="BH819" i="1"/>
  <c r="BH818" i="1"/>
  <c r="BK818" i="1" s="1"/>
  <c r="BK817" i="1"/>
  <c r="BH817" i="1"/>
  <c r="BH816" i="1"/>
  <c r="BK816" i="1" s="1"/>
  <c r="BK815" i="1"/>
  <c r="BH815" i="1"/>
  <c r="BH814" i="1"/>
  <c r="BK814" i="1" s="1"/>
  <c r="BK813" i="1"/>
  <c r="BH813" i="1"/>
  <c r="BH812" i="1"/>
  <c r="BK812" i="1" s="1"/>
  <c r="BK811" i="1"/>
  <c r="BH811" i="1"/>
  <c r="BH810" i="1"/>
  <c r="BK810" i="1" s="1"/>
  <c r="BK809" i="1"/>
  <c r="BH809" i="1"/>
  <c r="BH781" i="1"/>
  <c r="BK781" i="1" s="1"/>
  <c r="BK780" i="1"/>
  <c r="BH780" i="1"/>
  <c r="BH779" i="1"/>
  <c r="BK779" i="1" s="1"/>
  <c r="BK778" i="1"/>
  <c r="BH778" i="1"/>
  <c r="BH777" i="1"/>
  <c r="BK777" i="1" s="1"/>
  <c r="BK776" i="1"/>
  <c r="BH776" i="1"/>
  <c r="BH775" i="1"/>
  <c r="BK775" i="1" s="1"/>
  <c r="BK774" i="1"/>
  <c r="BH774" i="1"/>
  <c r="BH773" i="1"/>
  <c r="BK773" i="1" s="1"/>
  <c r="BK772" i="1"/>
  <c r="BH772" i="1"/>
  <c r="BH771" i="1"/>
  <c r="BK771" i="1" s="1"/>
  <c r="BK770" i="1"/>
  <c r="BH770" i="1"/>
  <c r="BH769" i="1"/>
  <c r="BK769" i="1" s="1"/>
  <c r="BK768" i="1"/>
  <c r="BH768" i="1"/>
  <c r="BH767" i="1"/>
  <c r="BK767" i="1" s="1"/>
  <c r="BK766" i="1"/>
  <c r="BH766" i="1"/>
  <c r="BK765" i="1"/>
  <c r="BH764" i="1"/>
  <c r="BK764" i="1" s="1"/>
  <c r="BK763" i="1"/>
  <c r="BH763" i="1"/>
  <c r="BH762" i="1"/>
  <c r="BK762" i="1" s="1"/>
  <c r="BH753" i="1"/>
  <c r="BH752" i="1"/>
  <c r="BH751" i="1"/>
  <c r="BH750" i="1"/>
  <c r="BH749" i="1"/>
  <c r="BH748" i="1"/>
  <c r="BH747" i="1"/>
  <c r="BH746" i="1"/>
  <c r="BH745" i="1"/>
  <c r="BH744" i="1"/>
  <c r="BH743" i="1"/>
  <c r="BK743" i="1" s="1"/>
  <c r="BK742" i="1"/>
  <c r="BH742" i="1"/>
  <c r="BH741" i="1"/>
  <c r="BK741" i="1" s="1"/>
  <c r="BK740" i="1"/>
  <c r="BH740" i="1"/>
  <c r="BH739" i="1"/>
  <c r="BK739" i="1" s="1"/>
  <c r="BK738" i="1"/>
  <c r="BH738" i="1"/>
  <c r="BH737" i="1"/>
  <c r="BK737" i="1" s="1"/>
  <c r="BK736" i="1"/>
  <c r="BH736" i="1"/>
  <c r="BH735" i="1"/>
  <c r="BK735" i="1" s="1"/>
  <c r="BK734" i="1"/>
  <c r="BH734" i="1"/>
  <c r="BH733" i="1"/>
  <c r="BK733" i="1" s="1"/>
  <c r="BK732" i="1"/>
  <c r="BH732" i="1"/>
  <c r="BH731" i="1"/>
  <c r="BK731" i="1" s="1"/>
  <c r="BK730" i="1"/>
  <c r="BH730" i="1"/>
  <c r="BH729" i="1"/>
  <c r="BK729" i="1" s="1"/>
  <c r="BK728" i="1"/>
  <c r="BH728" i="1"/>
  <c r="BH727" i="1"/>
  <c r="BK727" i="1" s="1"/>
  <c r="BK726" i="1"/>
  <c r="BH726" i="1"/>
  <c r="BH725" i="1"/>
  <c r="BK725" i="1" s="1"/>
  <c r="BK724" i="1"/>
  <c r="BH724" i="1"/>
  <c r="BH723" i="1"/>
  <c r="BK723" i="1" s="1"/>
  <c r="BK722" i="1"/>
  <c r="BH722" i="1"/>
  <c r="BH721" i="1"/>
  <c r="BK721" i="1" s="1"/>
  <c r="BK720" i="1"/>
  <c r="BH720" i="1"/>
  <c r="BH719" i="1"/>
  <c r="BK719" i="1" s="1"/>
  <c r="BK718" i="1"/>
  <c r="BH718" i="1"/>
  <c r="BH717" i="1"/>
  <c r="BK717" i="1" s="1"/>
  <c r="BK716" i="1"/>
  <c r="BH716" i="1"/>
  <c r="BH715" i="1"/>
  <c r="BK715" i="1" s="1"/>
  <c r="BK714" i="1"/>
  <c r="BH701" i="1"/>
  <c r="BK701" i="1" s="1"/>
  <c r="BK700" i="1"/>
  <c r="BK699" i="1"/>
  <c r="BH699" i="1"/>
  <c r="BH698" i="1"/>
  <c r="BK698" i="1" s="1"/>
  <c r="BK697" i="1"/>
  <c r="BH697" i="1"/>
  <c r="BH696" i="1"/>
  <c r="BK696" i="1" s="1"/>
  <c r="BK695" i="1"/>
  <c r="BH695" i="1"/>
  <c r="BH694" i="1"/>
  <c r="BK694" i="1" s="1"/>
  <c r="BK693" i="1"/>
  <c r="BH693" i="1"/>
  <c r="BH692" i="1"/>
  <c r="BK692" i="1" s="1"/>
  <c r="BK691" i="1"/>
  <c r="BH691" i="1"/>
  <c r="BH690" i="1"/>
  <c r="BK690" i="1" s="1"/>
  <c r="BK689" i="1"/>
  <c r="BH689" i="1"/>
  <c r="BH688" i="1"/>
  <c r="BK688" i="1" s="1"/>
  <c r="BK687" i="1"/>
  <c r="BH687" i="1"/>
  <c r="BH686" i="1"/>
  <c r="BK686" i="1" s="1"/>
  <c r="BK685" i="1"/>
  <c r="BH685" i="1"/>
  <c r="BH684" i="1"/>
  <c r="BK684" i="1" s="1"/>
  <c r="BK683" i="1"/>
  <c r="BH683" i="1"/>
  <c r="BH682" i="1"/>
  <c r="BK682" i="1" s="1"/>
  <c r="BK681" i="1"/>
  <c r="BH680" i="1"/>
  <c r="BK680" i="1" s="1"/>
  <c r="BK679" i="1"/>
  <c r="BH679" i="1"/>
  <c r="BH678" i="1"/>
  <c r="BK678" i="1" s="1"/>
  <c r="BK677" i="1"/>
  <c r="BH677" i="1"/>
  <c r="BH676" i="1"/>
  <c r="BK676" i="1" s="1"/>
  <c r="BK675" i="1"/>
  <c r="BH675" i="1"/>
  <c r="BH674" i="1"/>
  <c r="BK674" i="1" s="1"/>
  <c r="BK673" i="1"/>
  <c r="BH673" i="1"/>
  <c r="BH672" i="1"/>
  <c r="BK672" i="1" s="1"/>
  <c r="BK671" i="1"/>
  <c r="BH671" i="1"/>
  <c r="BH670" i="1"/>
  <c r="BK670" i="1" s="1"/>
  <c r="BK669" i="1"/>
  <c r="BH669" i="1"/>
  <c r="BH668" i="1"/>
  <c r="BK668" i="1" s="1"/>
  <c r="BK667" i="1"/>
  <c r="BH667" i="1"/>
  <c r="BH666" i="1"/>
  <c r="BK666" i="1" s="1"/>
  <c r="BK665" i="1"/>
  <c r="BH665" i="1"/>
  <c r="BH664" i="1"/>
  <c r="BK664" i="1" s="1"/>
  <c r="BK663" i="1"/>
  <c r="BH663" i="1"/>
  <c r="BK662" i="1"/>
  <c r="BH635" i="1"/>
  <c r="BK635" i="1" s="1"/>
  <c r="BK634" i="1"/>
  <c r="BH634" i="1"/>
  <c r="BH633" i="1"/>
  <c r="BK633" i="1" s="1"/>
  <c r="BK632" i="1"/>
  <c r="BH632" i="1"/>
  <c r="BH631" i="1"/>
  <c r="BK631" i="1" s="1"/>
  <c r="BK630" i="1"/>
  <c r="BH630" i="1"/>
  <c r="BH629" i="1"/>
  <c r="BK629" i="1" s="1"/>
  <c r="BK628" i="1"/>
  <c r="BH628" i="1"/>
  <c r="BH627" i="1"/>
  <c r="BK627" i="1" s="1"/>
  <c r="BK626" i="1"/>
  <c r="BH626" i="1"/>
  <c r="BH625" i="1"/>
  <c r="BK625" i="1" s="1"/>
  <c r="BK624" i="1"/>
  <c r="BH624" i="1"/>
  <c r="BH623" i="1"/>
  <c r="BK623" i="1" s="1"/>
  <c r="BK622" i="1"/>
  <c r="BH622" i="1"/>
  <c r="BH621" i="1"/>
  <c r="BK621" i="1" s="1"/>
  <c r="BK620" i="1"/>
  <c r="BH620" i="1"/>
  <c r="BH619" i="1"/>
  <c r="BK619" i="1" s="1"/>
  <c r="BK618" i="1"/>
  <c r="BH618" i="1"/>
  <c r="BH617" i="1"/>
  <c r="BK617" i="1" s="1"/>
  <c r="BH616" i="1"/>
  <c r="BK616" i="1" s="1"/>
  <c r="BH615" i="1"/>
  <c r="BK615" i="1" s="1"/>
  <c r="BH614" i="1"/>
  <c r="BK614" i="1" s="1"/>
  <c r="BH613" i="1"/>
  <c r="BK613" i="1" s="1"/>
  <c r="BH612" i="1"/>
  <c r="BK612" i="1" s="1"/>
  <c r="BH611" i="1"/>
  <c r="BK611" i="1" s="1"/>
  <c r="BH610" i="1"/>
  <c r="BK610" i="1" s="1"/>
  <c r="BH609" i="1"/>
  <c r="BK609" i="1" s="1"/>
  <c r="BH608" i="1"/>
  <c r="BK608" i="1" s="1"/>
  <c r="BH607" i="1"/>
  <c r="BK607" i="1" s="1"/>
  <c r="BH606" i="1"/>
  <c r="BK606" i="1" s="1"/>
  <c r="BH575" i="1"/>
  <c r="BK575" i="1" s="1"/>
  <c r="BH574" i="1"/>
  <c r="BK574" i="1" s="1"/>
  <c r="BH573" i="1"/>
  <c r="BK573" i="1" s="1"/>
  <c r="BH572" i="1"/>
  <c r="BK572" i="1" s="1"/>
  <c r="BH571" i="1"/>
  <c r="BK571" i="1" s="1"/>
  <c r="BK570" i="1"/>
  <c r="BH569" i="1"/>
  <c r="BK569" i="1" s="1"/>
  <c r="BK568" i="1"/>
  <c r="BH568" i="1"/>
  <c r="BH567" i="1"/>
  <c r="BK567" i="1" s="1"/>
  <c r="BK566" i="1"/>
  <c r="BH566" i="1"/>
  <c r="BH565" i="1"/>
  <c r="BK565" i="1" s="1"/>
  <c r="BK564" i="1"/>
  <c r="BH564" i="1"/>
  <c r="BH563" i="1"/>
  <c r="BK563" i="1" s="1"/>
  <c r="BK562" i="1"/>
  <c r="BH562" i="1"/>
  <c r="BH561" i="1"/>
  <c r="BK561" i="1" s="1"/>
  <c r="BK560" i="1"/>
  <c r="BH560" i="1"/>
  <c r="BH559" i="1"/>
  <c r="BK559" i="1" s="1"/>
  <c r="BK558" i="1"/>
  <c r="BH558" i="1"/>
  <c r="BH557" i="1"/>
  <c r="BK557" i="1" s="1"/>
  <c r="BK556" i="1"/>
  <c r="BH556" i="1"/>
  <c r="BH555" i="1"/>
  <c r="BK555" i="1" s="1"/>
  <c r="BK554" i="1"/>
  <c r="BH554" i="1"/>
  <c r="BH553" i="1"/>
  <c r="BK553" i="1" s="1"/>
  <c r="BK552" i="1"/>
  <c r="BH552" i="1"/>
  <c r="BH551" i="1"/>
  <c r="BK551" i="1" s="1"/>
  <c r="BK550" i="1"/>
  <c r="BH550" i="1"/>
  <c r="BH549" i="1"/>
  <c r="BK549" i="1" s="1"/>
  <c r="BK548" i="1"/>
  <c r="BH548" i="1"/>
  <c r="BK547" i="1"/>
  <c r="BH546" i="1"/>
  <c r="BK546" i="1" s="1"/>
  <c r="BK514" i="1"/>
  <c r="BH514" i="1"/>
  <c r="BH513" i="1"/>
  <c r="BK513" i="1" s="1"/>
  <c r="BK512" i="1"/>
  <c r="BH512" i="1"/>
  <c r="BH511" i="1"/>
  <c r="BK511" i="1" s="1"/>
  <c r="BK510" i="1"/>
  <c r="BH510" i="1"/>
  <c r="BH509" i="1"/>
  <c r="BK509" i="1" s="1"/>
  <c r="BK508" i="1"/>
  <c r="BH508" i="1"/>
  <c r="BH507" i="1"/>
  <c r="BK507" i="1" s="1"/>
  <c r="BK506" i="1"/>
  <c r="BH506" i="1"/>
  <c r="BH505" i="1"/>
  <c r="BK505" i="1" s="1"/>
  <c r="BK504" i="1"/>
  <c r="BH504" i="1"/>
  <c r="BH503" i="1"/>
  <c r="BK503" i="1" s="1"/>
  <c r="BH502" i="1"/>
  <c r="BK502" i="1" s="1"/>
  <c r="BH501" i="1"/>
  <c r="BK501" i="1" s="1"/>
  <c r="BH500" i="1"/>
  <c r="BK500" i="1" s="1"/>
  <c r="BH499" i="1"/>
  <c r="BK499" i="1" s="1"/>
  <c r="BH498" i="1"/>
  <c r="BK498" i="1" s="1"/>
  <c r="BH497" i="1"/>
  <c r="BK497" i="1" s="1"/>
  <c r="BH496" i="1"/>
  <c r="BK496" i="1" s="1"/>
  <c r="BH495" i="1"/>
  <c r="BK495" i="1" s="1"/>
  <c r="BH494" i="1"/>
  <c r="BK494" i="1" s="1"/>
  <c r="BH493" i="1"/>
  <c r="BK493" i="1" s="1"/>
  <c r="BH492" i="1"/>
  <c r="BK492" i="1" s="1"/>
  <c r="BH491" i="1"/>
  <c r="BK491" i="1" s="1"/>
  <c r="BH490" i="1"/>
  <c r="BK490" i="1" s="1"/>
  <c r="BH489" i="1"/>
  <c r="BK489" i="1" s="1"/>
  <c r="BH488" i="1"/>
  <c r="BK488" i="1" s="1"/>
  <c r="BH487" i="1"/>
  <c r="BK487" i="1" s="1"/>
  <c r="BH486" i="1"/>
  <c r="BK486" i="1" s="1"/>
  <c r="BH485" i="1"/>
  <c r="BK485" i="1" s="1"/>
  <c r="BH458" i="1"/>
  <c r="BK458" i="1" s="1"/>
  <c r="BH457" i="1"/>
  <c r="BK457" i="1" s="1"/>
  <c r="BH456" i="1"/>
  <c r="BK456" i="1" s="1"/>
  <c r="BH455" i="1"/>
  <c r="BK455" i="1" s="1"/>
  <c r="BH454" i="1"/>
  <c r="BK454" i="1" s="1"/>
  <c r="BH453" i="1"/>
  <c r="BK453" i="1" s="1"/>
  <c r="BH452" i="1"/>
  <c r="BK452" i="1" s="1"/>
  <c r="BK451" i="1"/>
  <c r="BH451" i="1"/>
  <c r="BH450" i="1"/>
  <c r="BK450" i="1" s="1"/>
  <c r="BH449" i="1"/>
  <c r="BK449" i="1" s="1"/>
  <c r="BH448" i="1"/>
  <c r="BK448" i="1" s="1"/>
  <c r="BH447" i="1"/>
  <c r="BK447" i="1" s="1"/>
  <c r="BH446" i="1"/>
  <c r="BK446" i="1" s="1"/>
  <c r="BH445" i="1"/>
  <c r="BK445" i="1" s="1"/>
  <c r="BH444" i="1"/>
  <c r="BK444" i="1" s="1"/>
  <c r="BK443" i="1"/>
  <c r="BH443" i="1"/>
  <c r="BH442" i="1"/>
  <c r="BK442" i="1" s="1"/>
  <c r="BH441" i="1"/>
  <c r="BK441" i="1" s="1"/>
  <c r="BH440" i="1"/>
  <c r="BK440" i="1" s="1"/>
  <c r="BH439" i="1"/>
  <c r="BK439" i="1" s="1"/>
  <c r="BH438" i="1"/>
  <c r="BK438" i="1" s="1"/>
  <c r="BH437" i="1"/>
  <c r="BK437" i="1" s="1"/>
  <c r="BH436" i="1"/>
  <c r="BK436" i="1" s="1"/>
  <c r="BK435" i="1"/>
  <c r="BH435" i="1"/>
  <c r="BH434" i="1"/>
  <c r="BK434" i="1" s="1"/>
  <c r="BH433" i="1"/>
  <c r="BK433" i="1" s="1"/>
  <c r="BH432" i="1"/>
  <c r="BK432" i="1" s="1"/>
  <c r="BH431" i="1"/>
  <c r="BK431" i="1" s="1"/>
  <c r="BH430" i="1"/>
  <c r="BK430" i="1" s="1"/>
  <c r="BH429" i="1"/>
  <c r="BK429" i="1" s="1"/>
  <c r="BH411" i="1"/>
  <c r="BK411" i="1" s="1"/>
  <c r="BK410" i="1"/>
  <c r="BH410" i="1"/>
  <c r="BH409" i="1"/>
  <c r="BK409" i="1" s="1"/>
  <c r="BH408" i="1"/>
  <c r="BK408" i="1" s="1"/>
  <c r="BH407" i="1"/>
  <c r="BK407" i="1" s="1"/>
  <c r="BH406" i="1"/>
  <c r="BK406" i="1" s="1"/>
  <c r="BH405" i="1"/>
  <c r="BK405" i="1" s="1"/>
  <c r="BK404" i="1"/>
  <c r="BK403" i="1"/>
  <c r="BH403" i="1"/>
  <c r="BH402" i="1"/>
  <c r="BK402" i="1" s="1"/>
  <c r="BK401" i="1"/>
  <c r="BH401" i="1"/>
  <c r="BH400" i="1"/>
  <c r="BK400" i="1" s="1"/>
  <c r="BK399" i="1"/>
  <c r="BH399" i="1"/>
  <c r="BH398" i="1"/>
  <c r="BK398" i="1" s="1"/>
  <c r="BK397" i="1"/>
  <c r="BH396" i="1"/>
  <c r="BK396" i="1" s="1"/>
  <c r="BH395" i="1"/>
  <c r="BK395" i="1" s="1"/>
  <c r="BH394" i="1"/>
  <c r="BK394" i="1" s="1"/>
  <c r="BK393" i="1"/>
  <c r="BH393" i="1"/>
  <c r="BH392" i="1"/>
  <c r="BK392" i="1" s="1"/>
  <c r="BH391" i="1"/>
  <c r="BK391" i="1" s="1"/>
  <c r="BH390" i="1"/>
  <c r="BK390" i="1" s="1"/>
  <c r="BH389" i="1"/>
  <c r="BK389" i="1" s="1"/>
  <c r="BH388" i="1"/>
  <c r="BK388" i="1" s="1"/>
  <c r="BH387" i="1"/>
  <c r="BK387" i="1" s="1"/>
  <c r="BH386" i="1"/>
  <c r="BK386" i="1" s="1"/>
  <c r="BK385" i="1"/>
  <c r="BH385" i="1"/>
  <c r="BH384" i="1"/>
  <c r="BK384" i="1" s="1"/>
  <c r="BH383" i="1"/>
  <c r="BK383" i="1" s="1"/>
  <c r="BH382" i="1"/>
  <c r="BK382" i="1" s="1"/>
  <c r="BH364" i="1"/>
  <c r="BK364" i="1" s="1"/>
  <c r="BH363" i="1"/>
  <c r="BK363" i="1" s="1"/>
  <c r="BH362" i="1"/>
  <c r="BK362" i="1" s="1"/>
  <c r="BH361" i="1"/>
  <c r="BK361" i="1" s="1"/>
  <c r="BK360" i="1"/>
  <c r="BH360" i="1"/>
  <c r="BH359" i="1"/>
  <c r="BK359" i="1" s="1"/>
  <c r="BH358" i="1"/>
  <c r="BK358" i="1" s="1"/>
  <c r="BH357" i="1"/>
  <c r="BK357" i="1" s="1"/>
  <c r="BH356" i="1"/>
  <c r="BK356" i="1" s="1"/>
  <c r="BH355" i="1"/>
  <c r="BK355" i="1" s="1"/>
  <c r="BH354" i="1"/>
  <c r="BK354" i="1" s="1"/>
  <c r="BH353" i="1"/>
  <c r="BK353" i="1" s="1"/>
  <c r="BK352" i="1"/>
  <c r="BH352" i="1"/>
  <c r="BH351" i="1"/>
  <c r="BK351" i="1" s="1"/>
  <c r="BH350" i="1"/>
  <c r="BK350" i="1" s="1"/>
  <c r="BH349" i="1"/>
  <c r="BK349" i="1" s="1"/>
  <c r="BH348" i="1"/>
  <c r="BK348" i="1" s="1"/>
  <c r="BH347" i="1"/>
  <c r="BK347" i="1" s="1"/>
  <c r="BH346" i="1"/>
  <c r="BK346" i="1" s="1"/>
  <c r="BH345" i="1"/>
  <c r="BK345" i="1" s="1"/>
  <c r="BK344" i="1"/>
  <c r="BH344" i="1"/>
  <c r="BH343" i="1"/>
  <c r="BK343" i="1" s="1"/>
  <c r="BH342" i="1"/>
  <c r="BK342" i="1" s="1"/>
  <c r="BH341" i="1"/>
  <c r="BK341" i="1" s="1"/>
  <c r="BH340" i="1"/>
  <c r="BK340" i="1" s="1"/>
  <c r="BH339" i="1"/>
  <c r="BK339" i="1" s="1"/>
  <c r="BH338" i="1"/>
  <c r="BK338" i="1" s="1"/>
  <c r="BH337" i="1"/>
  <c r="BK337" i="1" s="1"/>
  <c r="BK336" i="1"/>
  <c r="BH336" i="1"/>
  <c r="BH318" i="1"/>
  <c r="BK318" i="1" s="1"/>
  <c r="BH317" i="1"/>
  <c r="BK317" i="1" s="1"/>
  <c r="BH316" i="1"/>
  <c r="BK316" i="1" s="1"/>
  <c r="BH315" i="1"/>
  <c r="BK315" i="1" s="1"/>
  <c r="BH314" i="1"/>
  <c r="BK314" i="1" s="1"/>
  <c r="BH313" i="1"/>
  <c r="BK313" i="1" s="1"/>
  <c r="BH312" i="1"/>
  <c r="BK312" i="1" s="1"/>
  <c r="BK311" i="1"/>
  <c r="BH311" i="1"/>
  <c r="BH310" i="1"/>
  <c r="BK310" i="1" s="1"/>
  <c r="BH309" i="1"/>
  <c r="BK309" i="1" s="1"/>
  <c r="BH308" i="1"/>
  <c r="BK308" i="1" s="1"/>
  <c r="BH307" i="1"/>
  <c r="BK307" i="1" s="1"/>
  <c r="BH306" i="1"/>
  <c r="BK306" i="1" s="1"/>
  <c r="BH305" i="1"/>
  <c r="BK305" i="1" s="1"/>
  <c r="BK304" i="1"/>
  <c r="BH303" i="1"/>
  <c r="BK303" i="1" s="1"/>
  <c r="BK302" i="1"/>
  <c r="BH302" i="1"/>
  <c r="BH301" i="1"/>
  <c r="BK301" i="1" s="1"/>
  <c r="BK300" i="1"/>
  <c r="BH300" i="1"/>
  <c r="BH299" i="1"/>
  <c r="BK299" i="1" s="1"/>
  <c r="BK298" i="1"/>
  <c r="BH298" i="1"/>
  <c r="BH297" i="1"/>
  <c r="BK297" i="1" s="1"/>
  <c r="BK296" i="1"/>
  <c r="BH296" i="1"/>
  <c r="BH295" i="1"/>
  <c r="BK295" i="1" s="1"/>
  <c r="BK294" i="1"/>
  <c r="BH294" i="1"/>
  <c r="BH293" i="1"/>
  <c r="BK293" i="1" s="1"/>
  <c r="BK292" i="1"/>
  <c r="BH292" i="1"/>
  <c r="BH291" i="1"/>
  <c r="BK291" i="1" s="1"/>
  <c r="BK290" i="1"/>
  <c r="BH290" i="1"/>
  <c r="BH289" i="1"/>
  <c r="BK289" i="1" s="1"/>
  <c r="BK271" i="1"/>
  <c r="BH271" i="1"/>
  <c r="BH270" i="1"/>
  <c r="BK270" i="1" s="1"/>
  <c r="BK269" i="1"/>
  <c r="BH269" i="1"/>
  <c r="BH268" i="1"/>
  <c r="BK268" i="1" s="1"/>
  <c r="BK267" i="1"/>
  <c r="BH267" i="1"/>
  <c r="BH266" i="1"/>
  <c r="BK266" i="1" s="1"/>
  <c r="BK265" i="1"/>
  <c r="BH265" i="1"/>
  <c r="BH264" i="1"/>
  <c r="BK264" i="1" s="1"/>
  <c r="BK263" i="1"/>
  <c r="BH263" i="1"/>
  <c r="BH262" i="1"/>
  <c r="BK262" i="1" s="1"/>
  <c r="BK261" i="1"/>
  <c r="BH261" i="1"/>
  <c r="BH260" i="1"/>
  <c r="BK260" i="1" s="1"/>
  <c r="BK259" i="1"/>
  <c r="BH259" i="1"/>
  <c r="BH258" i="1"/>
  <c r="BK258" i="1" s="1"/>
  <c r="BK257" i="1"/>
  <c r="BH257" i="1"/>
  <c r="BH256" i="1"/>
  <c r="BK256" i="1" s="1"/>
  <c r="BK255" i="1"/>
  <c r="BH255" i="1"/>
  <c r="BH254" i="1"/>
  <c r="BK254" i="1" s="1"/>
  <c r="BK253" i="1"/>
  <c r="BH253" i="1"/>
  <c r="BH252" i="1"/>
  <c r="BK252" i="1" s="1"/>
  <c r="BK251" i="1"/>
  <c r="BH251" i="1"/>
  <c r="BH250" i="1"/>
  <c r="BK250" i="1" s="1"/>
  <c r="BK249" i="1"/>
  <c r="BH249" i="1"/>
  <c r="BH248" i="1"/>
  <c r="BK248" i="1" s="1"/>
  <c r="BK247" i="1"/>
  <c r="BH247" i="1"/>
  <c r="BH246" i="1"/>
  <c r="BK246" i="1" s="1"/>
  <c r="BK245" i="1"/>
  <c r="BH245" i="1"/>
  <c r="BH244" i="1"/>
  <c r="BK244" i="1" s="1"/>
  <c r="BK243" i="1"/>
  <c r="BH243" i="1"/>
  <c r="BK242" i="1"/>
  <c r="BH224" i="1"/>
  <c r="BK224" i="1" s="1"/>
  <c r="BH223" i="1"/>
  <c r="BK223" i="1" s="1"/>
  <c r="BH222" i="1"/>
  <c r="BK222" i="1" s="1"/>
  <c r="BH221" i="1"/>
  <c r="BK221" i="1" s="1"/>
  <c r="BH220" i="1"/>
  <c r="BK220" i="1" s="1"/>
  <c r="BH219" i="1"/>
  <c r="BK219" i="1" s="1"/>
  <c r="BK218" i="1"/>
  <c r="BH218" i="1"/>
  <c r="BH217" i="1"/>
  <c r="BK217" i="1" s="1"/>
  <c r="BH216" i="1"/>
  <c r="BK216" i="1" s="1"/>
  <c r="BH215" i="1"/>
  <c r="BK215" i="1" s="1"/>
  <c r="BH214" i="1"/>
  <c r="BK214" i="1" s="1"/>
  <c r="BH213" i="1"/>
  <c r="BK213" i="1" s="1"/>
  <c r="BH212" i="1"/>
  <c r="BK212" i="1" s="1"/>
  <c r="BH211" i="1"/>
  <c r="BK211" i="1" s="1"/>
  <c r="BK210" i="1"/>
  <c r="BH210" i="1"/>
  <c r="BH209" i="1"/>
  <c r="BK209" i="1" s="1"/>
  <c r="BH208" i="1"/>
  <c r="BK208" i="1" s="1"/>
  <c r="BH207" i="1"/>
  <c r="BK207" i="1" s="1"/>
  <c r="BH206" i="1"/>
  <c r="BK206" i="1" s="1"/>
  <c r="BH205" i="1"/>
  <c r="BK205" i="1" s="1"/>
  <c r="BH204" i="1"/>
  <c r="BK204" i="1" s="1"/>
  <c r="BH203" i="1"/>
  <c r="BK203" i="1" s="1"/>
  <c r="BK202" i="1"/>
  <c r="BH202" i="1"/>
  <c r="BH201" i="1"/>
  <c r="BK201" i="1" s="1"/>
  <c r="BH200" i="1"/>
  <c r="BK200" i="1" s="1"/>
  <c r="BH199" i="1"/>
  <c r="BK199" i="1" s="1"/>
  <c r="BH198" i="1"/>
  <c r="BK198" i="1" s="1"/>
  <c r="BH197" i="1"/>
  <c r="BK197" i="1" s="1"/>
  <c r="BH196" i="1"/>
  <c r="BK196" i="1" s="1"/>
  <c r="BH195" i="1"/>
  <c r="BK195" i="1" s="1"/>
  <c r="BK177" i="1"/>
  <c r="BH177" i="1"/>
  <c r="BH176" i="1"/>
  <c r="BK176" i="1" s="1"/>
  <c r="BH175" i="1"/>
  <c r="BK175" i="1" s="1"/>
  <c r="BH174" i="1"/>
  <c r="BK174" i="1" s="1"/>
  <c r="BH173" i="1"/>
  <c r="BK173" i="1" s="1"/>
  <c r="BH172" i="1"/>
  <c r="BK172" i="1" s="1"/>
  <c r="BH171" i="1"/>
  <c r="BK171" i="1" s="1"/>
  <c r="BH170" i="1"/>
  <c r="BK170" i="1" s="1"/>
  <c r="BK169" i="1"/>
  <c r="BH169" i="1"/>
  <c r="BH168" i="1"/>
  <c r="BK168" i="1" s="1"/>
  <c r="BH167" i="1"/>
  <c r="BK167" i="1" s="1"/>
  <c r="BH166" i="1"/>
  <c r="BK166" i="1" s="1"/>
  <c r="BH165" i="1"/>
  <c r="BK165" i="1" s="1"/>
  <c r="BH164" i="1"/>
  <c r="BK164" i="1" s="1"/>
  <c r="BH163" i="1"/>
  <c r="BK163" i="1" s="1"/>
  <c r="BH162" i="1"/>
  <c r="BK162" i="1" s="1"/>
  <c r="BK161" i="1"/>
  <c r="BH161" i="1"/>
  <c r="BH160" i="1"/>
  <c r="BK160" i="1" s="1"/>
  <c r="BH159" i="1"/>
  <c r="BK159" i="1" s="1"/>
  <c r="BH158" i="1"/>
  <c r="BK158" i="1" s="1"/>
  <c r="BH157" i="1"/>
  <c r="BK157" i="1" s="1"/>
  <c r="BH156" i="1"/>
  <c r="BK156" i="1" s="1"/>
  <c r="BH155" i="1"/>
  <c r="BK155" i="1" s="1"/>
  <c r="BH154" i="1"/>
  <c r="BK154" i="1" s="1"/>
  <c r="BK153" i="1"/>
  <c r="BH153" i="1"/>
  <c r="BH152" i="1"/>
  <c r="BK152" i="1" s="1"/>
  <c r="BH151" i="1"/>
  <c r="BK151" i="1" s="1"/>
  <c r="BH150" i="1"/>
  <c r="BK150" i="1" s="1"/>
  <c r="BH149" i="1"/>
  <c r="BK149" i="1" s="1"/>
  <c r="BH148" i="1"/>
  <c r="BK148" i="1" s="1"/>
  <c r="BH130" i="1"/>
  <c r="BK130" i="1" s="1"/>
  <c r="BH129" i="1"/>
  <c r="BK129" i="1" s="1"/>
  <c r="BK128" i="1"/>
  <c r="BH128" i="1"/>
  <c r="BH127" i="1"/>
  <c r="BK127" i="1" s="1"/>
  <c r="BH126" i="1"/>
  <c r="BK126" i="1" s="1"/>
  <c r="BH125" i="1"/>
  <c r="BK125" i="1" s="1"/>
  <c r="BH124" i="1"/>
  <c r="BK124" i="1" s="1"/>
  <c r="BH123" i="1"/>
  <c r="BK123" i="1" s="1"/>
  <c r="BK122" i="1"/>
  <c r="BH122" i="1"/>
  <c r="BH121" i="1"/>
  <c r="BK121" i="1" s="1"/>
  <c r="BK120" i="1"/>
  <c r="BH120" i="1"/>
  <c r="BH119" i="1"/>
  <c r="BK119" i="1" s="1"/>
  <c r="BH118" i="1"/>
  <c r="BK118" i="1" s="1"/>
  <c r="BH117" i="1"/>
  <c r="BK117" i="1" s="1"/>
  <c r="BH116" i="1"/>
  <c r="BK116" i="1" s="1"/>
  <c r="BH115" i="1"/>
  <c r="BK115" i="1" s="1"/>
  <c r="BK114" i="1"/>
  <c r="BH114" i="1"/>
  <c r="BH113" i="1"/>
  <c r="BK113" i="1" s="1"/>
  <c r="BK112" i="1"/>
  <c r="BH112" i="1"/>
  <c r="BH111" i="1"/>
  <c r="BK111" i="1" s="1"/>
  <c r="BH110" i="1"/>
  <c r="BK110" i="1" s="1"/>
  <c r="BH109" i="1"/>
  <c r="BK109" i="1" s="1"/>
  <c r="BH108" i="1"/>
  <c r="BK108" i="1" s="1"/>
  <c r="BH107" i="1"/>
  <c r="BK107" i="1" s="1"/>
  <c r="BK106" i="1"/>
  <c r="BH106" i="1"/>
  <c r="BH105" i="1"/>
  <c r="BK105" i="1" s="1"/>
  <c r="BK104" i="1"/>
  <c r="BH104" i="1"/>
  <c r="BH103" i="1"/>
  <c r="BK103" i="1" s="1"/>
  <c r="BH102" i="1"/>
  <c r="BK102" i="1" s="1"/>
  <c r="BH101" i="1"/>
  <c r="BK101" i="1" s="1"/>
  <c r="BH83" i="1"/>
  <c r="BK83" i="1" s="1"/>
  <c r="BH82" i="1"/>
  <c r="BK82" i="1" s="1"/>
  <c r="BK81" i="1"/>
  <c r="BH81" i="1"/>
  <c r="BH80" i="1"/>
  <c r="BK80" i="1" s="1"/>
  <c r="BK79" i="1"/>
  <c r="BH79" i="1"/>
  <c r="BH78" i="1"/>
  <c r="BK78" i="1" s="1"/>
  <c r="BH77" i="1"/>
  <c r="BK77" i="1" s="1"/>
  <c r="BH76" i="1"/>
  <c r="BK76" i="1" s="1"/>
  <c r="BH75" i="1"/>
  <c r="BK75" i="1" s="1"/>
  <c r="BH74" i="1"/>
  <c r="BK74" i="1" s="1"/>
  <c r="BK73" i="1"/>
  <c r="BH73" i="1"/>
  <c r="BH72" i="1"/>
  <c r="BK72" i="1" s="1"/>
  <c r="BK71" i="1"/>
  <c r="BH71" i="1"/>
  <c r="BH70" i="1"/>
  <c r="BK70" i="1" s="1"/>
  <c r="BH69" i="1"/>
  <c r="BK69" i="1" s="1"/>
  <c r="BH68" i="1"/>
  <c r="BK68" i="1" s="1"/>
  <c r="BH67" i="1"/>
  <c r="BK67" i="1" s="1"/>
  <c r="BH66" i="1"/>
  <c r="BK66" i="1" s="1"/>
  <c r="BK65" i="1"/>
  <c r="BH65" i="1"/>
  <c r="BH64" i="1"/>
  <c r="BK64" i="1" s="1"/>
  <c r="BK63" i="1"/>
  <c r="BH63" i="1"/>
  <c r="BH62" i="1"/>
  <c r="BK62" i="1" s="1"/>
  <c r="BH61" i="1"/>
  <c r="BK61" i="1" s="1"/>
  <c r="BH60" i="1"/>
  <c r="BK60" i="1" s="1"/>
  <c r="BH59" i="1"/>
  <c r="BK59" i="1" s="1"/>
  <c r="BH58" i="1"/>
  <c r="BK58" i="1" s="1"/>
  <c r="BK57" i="1"/>
  <c r="BH57" i="1"/>
  <c r="BH56" i="1"/>
  <c r="BK56" i="1" s="1"/>
  <c r="BK55" i="1"/>
  <c r="BH55" i="1"/>
  <c r="BH54" i="1"/>
  <c r="BK54" i="1" s="1"/>
  <c r="BH35" i="1"/>
  <c r="BK35" i="1" s="1"/>
  <c r="BH34" i="1"/>
  <c r="BK34" i="1" s="1"/>
  <c r="BH33" i="1"/>
  <c r="BK33" i="1" s="1"/>
  <c r="BH32" i="1"/>
  <c r="BK32" i="1" s="1"/>
  <c r="BK31" i="1"/>
  <c r="BH31" i="1"/>
  <c r="BH30" i="1"/>
  <c r="BK30" i="1" s="1"/>
  <c r="BK29" i="1"/>
  <c r="BH29" i="1"/>
  <c r="BH28" i="1"/>
  <c r="BK28" i="1" s="1"/>
  <c r="BH27" i="1"/>
  <c r="BK27" i="1" s="1"/>
  <c r="BH26" i="1"/>
  <c r="BK26" i="1" s="1"/>
  <c r="BH25" i="1"/>
  <c r="BK25" i="1" s="1"/>
  <c r="BH24" i="1"/>
  <c r="BK24" i="1" s="1"/>
  <c r="BK23" i="1"/>
  <c r="BH23" i="1"/>
  <c r="BH22" i="1"/>
  <c r="BK22" i="1" s="1"/>
  <c r="BK21" i="1"/>
  <c r="BH21" i="1"/>
  <c r="BH20" i="1"/>
  <c r="BK20" i="1" s="1"/>
  <c r="BH19" i="1"/>
  <c r="BK19" i="1" s="1"/>
  <c r="BH18" i="1"/>
  <c r="BK18" i="1" s="1"/>
  <c r="BH17" i="1"/>
  <c r="BK17" i="1" s="1"/>
  <c r="BH16" i="1"/>
  <c r="BK16" i="1" s="1"/>
  <c r="BK15" i="1"/>
  <c r="BH15" i="1"/>
  <c r="BH14" i="1"/>
  <c r="BK14" i="1" s="1"/>
  <c r="BK13" i="1"/>
  <c r="BH13" i="1"/>
  <c r="BH12" i="1"/>
  <c r="BK12" i="1" s="1"/>
  <c r="BH11" i="1"/>
  <c r="BK11" i="1" s="1"/>
  <c r="BH10" i="1"/>
  <c r="BK10" i="1" s="1"/>
  <c r="BH9" i="1"/>
  <c r="BK9" i="1" s="1"/>
  <c r="BH8" i="1"/>
  <c r="BK8" i="1" s="1"/>
  <c r="BK7" i="1"/>
  <c r="BH7" i="1"/>
  <c r="BH6" i="1"/>
  <c r="BK6" i="1" s="1"/>
</calcChain>
</file>

<file path=xl/sharedStrings.xml><?xml version="1.0" encoding="utf-8"?>
<sst xmlns="http://schemas.openxmlformats.org/spreadsheetml/2006/main" count="5520" uniqueCount="1316">
  <si>
    <t xml:space="preserve">                FUILLE  D'INVENTAIRE  AU 31/12/2024</t>
  </si>
  <si>
    <t xml:space="preserve">المعهد الوطني المتخصص في التكوين المهني بواسماعيل </t>
  </si>
  <si>
    <t>صفحة 01</t>
  </si>
  <si>
    <t>DIVISION :A</t>
  </si>
  <si>
    <t>N°</t>
  </si>
  <si>
    <t>FICHES</t>
  </si>
  <si>
    <t xml:space="preserve">DESIGNATION </t>
  </si>
  <si>
    <t>AFFECTATION  (sections ou services)</t>
  </si>
  <si>
    <t>Stocks</t>
  </si>
  <si>
    <t>Ecrats</t>
  </si>
  <si>
    <t>Ecarts</t>
  </si>
  <si>
    <t>DIV</t>
  </si>
  <si>
    <t>االعتاد</t>
  </si>
  <si>
    <t>ورشة 01</t>
  </si>
  <si>
    <t>ورشة 02</t>
  </si>
  <si>
    <t>ورشة 03</t>
  </si>
  <si>
    <t>ورشة 04</t>
  </si>
  <si>
    <t>ورشة 05</t>
  </si>
  <si>
    <t>ورشة 06</t>
  </si>
  <si>
    <t>ورشة 07</t>
  </si>
  <si>
    <t>ورشة 08</t>
  </si>
  <si>
    <t>ورشة 09</t>
  </si>
  <si>
    <t>ورشة 10</t>
  </si>
  <si>
    <t xml:space="preserve">ورشة اللغات </t>
  </si>
  <si>
    <t>قاعات التدريس 1-5  7-10</t>
  </si>
  <si>
    <t xml:space="preserve">المطعم </t>
  </si>
  <si>
    <t>الداخلية</t>
  </si>
  <si>
    <t>المدرج</t>
  </si>
  <si>
    <t xml:space="preserve">مكتب المدير </t>
  </si>
  <si>
    <t>مكتب أمانة  المدير</t>
  </si>
  <si>
    <t xml:space="preserve">قاعاة الاجتماعات </t>
  </si>
  <si>
    <t xml:space="preserve">مكتب  المقتصدية والوسائل العامة </t>
  </si>
  <si>
    <t>مكتب عون المحاسب</t>
  </si>
  <si>
    <t>مكتب المفتش</t>
  </si>
  <si>
    <t>مكتب المستخدمين</t>
  </si>
  <si>
    <t xml:space="preserve">مكتب مدير فرعي للإدارة والمالية </t>
  </si>
  <si>
    <t>مكتب التقني سامي اعلام الالي</t>
  </si>
  <si>
    <t xml:space="preserve">مكتب مدير الفرعي للدراسات والتربصات </t>
  </si>
  <si>
    <t>مكتب كاتبة DES</t>
  </si>
  <si>
    <t>مكتب الشهادات</t>
  </si>
  <si>
    <t>مكتب التكوين الحضوري</t>
  </si>
  <si>
    <t xml:space="preserve">مكتب مصلحة الميزانية والمحاسبة </t>
  </si>
  <si>
    <t>مكتب مدير الفرعي للتمهين</t>
  </si>
  <si>
    <t>مكتب رئيس م التمهين</t>
  </si>
  <si>
    <t xml:space="preserve">مكتب امانة DAFC </t>
  </si>
  <si>
    <t>قاعة الأرشيف</t>
  </si>
  <si>
    <t>مكتب أمين مخزن</t>
  </si>
  <si>
    <t xml:space="preserve"> مكتب رئيس مصلحة التكوين الحضوري </t>
  </si>
  <si>
    <t>قاعة الاستقبال VIP</t>
  </si>
  <si>
    <t>MIN DATA CONTRE</t>
  </si>
  <si>
    <t>مكتب الاستقبال الاعلام والتوجيه</t>
  </si>
  <si>
    <t xml:space="preserve">مكتب تطوير المقاولتية </t>
  </si>
  <si>
    <t>مكتب الرقابة 01</t>
  </si>
  <si>
    <t>مكتب الرقابة 02</t>
  </si>
  <si>
    <t xml:space="preserve">المكتبة </t>
  </si>
  <si>
    <t xml:space="preserve">قاعة المطالعة </t>
  </si>
  <si>
    <t>قاعة الأساتذة</t>
  </si>
  <si>
    <t xml:space="preserve">الحجابة+ غرفة النظافة </t>
  </si>
  <si>
    <t xml:space="preserve">مكتب مسير المطعم </t>
  </si>
  <si>
    <t>التدفئة المركزية+ خزان الماء +بئر</t>
  </si>
  <si>
    <t>ورشة الصيانة</t>
  </si>
  <si>
    <t xml:space="preserve">م الكهربائي+ غ الكهرباء+ ساحة </t>
  </si>
  <si>
    <t xml:space="preserve"> مكتب مسؤول داخلية </t>
  </si>
  <si>
    <t>السكنات الإلزامية</t>
  </si>
  <si>
    <t>النادي</t>
  </si>
  <si>
    <t xml:space="preserve">Magasin General </t>
  </si>
  <si>
    <t xml:space="preserve">Instance Reforme </t>
  </si>
  <si>
    <t>Generaux</t>
  </si>
  <si>
    <t>Sur Fiches</t>
  </si>
  <si>
    <t>+</t>
  </si>
  <si>
    <t>-</t>
  </si>
  <si>
    <t xml:space="preserve">Observation </t>
  </si>
  <si>
    <t>Sur Fiche</t>
  </si>
  <si>
    <t>01</t>
  </si>
  <si>
    <t>A</t>
  </si>
  <si>
    <t>Agrafeuse Géant 180 pages</t>
  </si>
  <si>
    <t>02</t>
  </si>
  <si>
    <t>Alimentation AC/DC intégré dans la console "PS 4804S"</t>
  </si>
  <si>
    <t>03</t>
  </si>
  <si>
    <t>Alimentation stabilise double</t>
  </si>
  <si>
    <t>04</t>
  </si>
  <si>
    <t>Alimentation stabilise simple</t>
  </si>
  <si>
    <t>05</t>
  </si>
  <si>
    <t>Alimentation stabilisée double</t>
  </si>
  <si>
    <t>06</t>
  </si>
  <si>
    <t>Ampèremètre analogique de table</t>
  </si>
  <si>
    <t>07</t>
  </si>
  <si>
    <t>Amplificateur Phonique</t>
  </si>
  <si>
    <t>08</t>
  </si>
  <si>
    <t>Analyseur de spectre</t>
  </si>
  <si>
    <t>09</t>
  </si>
  <si>
    <t>Analyseur logique A 32 canaux</t>
  </si>
  <si>
    <t>10</t>
  </si>
  <si>
    <t>Analyseur logique de spectre</t>
  </si>
  <si>
    <t>11</t>
  </si>
  <si>
    <t>Appareil photo /camera vidéo avec carte mémoire SONY CX 405 HANDY CAM</t>
  </si>
  <si>
    <t>12</t>
  </si>
  <si>
    <t>Appareil téléphonique-fax Panasonic</t>
  </si>
  <si>
    <t>13</t>
  </si>
  <si>
    <t>Armoire 02 porte en MDF</t>
  </si>
  <si>
    <t>14</t>
  </si>
  <si>
    <t>ARMOIRE A CLE 120C</t>
  </si>
  <si>
    <t>15</t>
  </si>
  <si>
    <t>Armoire à clé en métal de 23 clefs</t>
  </si>
  <si>
    <t>16</t>
  </si>
  <si>
    <t>Armoire blindé</t>
  </si>
  <si>
    <t>17</t>
  </si>
  <si>
    <t>Armoire blindé 1.90x0.95x0.45</t>
  </si>
  <si>
    <t>18</t>
  </si>
  <si>
    <t>Armoire de brassage optique TELESYSTEM 32U (800x800mm)</t>
  </si>
  <si>
    <t>19</t>
  </si>
  <si>
    <t>Armoire de brassage réseau TELESYSTEM 32U (800x800mm)</t>
  </si>
  <si>
    <t>20</t>
  </si>
  <si>
    <t>Armoire de brassage TELESYSTEM 09U fixe</t>
  </si>
  <si>
    <t>21</t>
  </si>
  <si>
    <t>Armoire de brassage TELESYSTEM 12Upivotante</t>
  </si>
  <si>
    <t>22</t>
  </si>
  <si>
    <t>Armoire de classe métallique</t>
  </si>
  <si>
    <t>23</t>
  </si>
  <si>
    <t>Armoire en bois 02 porte</t>
  </si>
  <si>
    <t>24</t>
  </si>
  <si>
    <t>Armoire en bois 02 portes</t>
  </si>
  <si>
    <t>25</t>
  </si>
  <si>
    <t>Armoire en bois vitrée</t>
  </si>
  <si>
    <t>26</t>
  </si>
  <si>
    <t>Armoire métallique</t>
  </si>
  <si>
    <t>27</t>
  </si>
  <si>
    <t>Armoire métallique basse 1,00x0,93x0,43</t>
  </si>
  <si>
    <t>28</t>
  </si>
  <si>
    <t>Armoire métallique haute  190x93x43 avec cle</t>
  </si>
  <si>
    <t>29</t>
  </si>
  <si>
    <t>Armoire vitrée  2P 0.80x440.2.00 mixte en MDF</t>
  </si>
  <si>
    <t>30</t>
  </si>
  <si>
    <t>Armoire vitrée 3P 1.20x440.2.00 mixte en MDF</t>
  </si>
  <si>
    <t>صفحة 02</t>
  </si>
  <si>
    <t xml:space="preserve">AFFECTATION </t>
  </si>
  <si>
    <t xml:space="preserve">العيادة </t>
  </si>
  <si>
    <t xml:space="preserve">الحجابة+ فناء الإدارة </t>
  </si>
  <si>
    <t>31</t>
  </si>
  <si>
    <t>Armoire vitrée haute en bois 2 portes</t>
  </si>
  <si>
    <t>32</t>
  </si>
  <si>
    <t>Armoire vitrée haute en bois avec clef 1.80x0.80 / 02 portes</t>
  </si>
  <si>
    <t>8 قليعة</t>
  </si>
  <si>
    <t>33</t>
  </si>
  <si>
    <t>Armoire vitrée haute en bois avec clef 1.80x0.80 2P</t>
  </si>
  <si>
    <t>34</t>
  </si>
  <si>
    <t>BAFF</t>
  </si>
  <si>
    <t>35</t>
  </si>
  <si>
    <t>Baie informatique 36U (600x1000)</t>
  </si>
  <si>
    <t>36</t>
  </si>
  <si>
    <t>Baie informatique LOGIMEX 42U (800x100mm)</t>
  </si>
  <si>
    <t>37</t>
  </si>
  <si>
    <t>Banc d'étude micro contrôleur</t>
  </si>
  <si>
    <t>38</t>
  </si>
  <si>
    <t>Banderoles (3m x 1m) numérique</t>
  </si>
  <si>
    <t>39</t>
  </si>
  <si>
    <t>Banquette 3 places en aluminium</t>
  </si>
  <si>
    <t>40</t>
  </si>
  <si>
    <t>Banquette de 03 P En Aluminium</t>
  </si>
  <si>
    <t>41</t>
  </si>
  <si>
    <t>Banquette de 03 places en simili cuir</t>
  </si>
  <si>
    <t>42</t>
  </si>
  <si>
    <t>Barre point de terre</t>
  </si>
  <si>
    <t>43</t>
  </si>
  <si>
    <t>Bibliothèque MDF pour bureau directeur</t>
  </si>
  <si>
    <t>44</t>
  </si>
  <si>
    <t>Boite de capacités à 3 décades</t>
  </si>
  <si>
    <t>45</t>
  </si>
  <si>
    <t>Boite de condensateurs</t>
  </si>
  <si>
    <t>46</t>
  </si>
  <si>
    <t>Boite de résistances à 7 décades</t>
  </si>
  <si>
    <t>47</t>
  </si>
  <si>
    <t>Bureau 1.40x0.70 3 T Fermeture à clé MDF</t>
  </si>
  <si>
    <t xml:space="preserve">2 حملة </t>
  </si>
  <si>
    <t>48</t>
  </si>
  <si>
    <t>Bureau 1.60x0.70 avec 3 T Fermeture à clé MDF</t>
  </si>
  <si>
    <t>49</t>
  </si>
  <si>
    <t>Bureau 1.60x0.75 en MDF caisson à 02 tiroirs</t>
  </si>
  <si>
    <t>50</t>
  </si>
  <si>
    <t>Bureau 1.60x0.83x0.76 en MDF avec retour et caisson mobile à trois tiroirs</t>
  </si>
  <si>
    <t>51</t>
  </si>
  <si>
    <t>Bureau 1.80x0.90x0.76 en MDF avec R+C</t>
  </si>
  <si>
    <t xml:space="preserve">1 مديرية </t>
  </si>
  <si>
    <t>52</t>
  </si>
  <si>
    <t>Bureau caisson 02 tiroirs</t>
  </si>
  <si>
    <t>53</t>
  </si>
  <si>
    <t>Bureau directeur 200x1020 MDF avec R+c</t>
  </si>
  <si>
    <t>54</t>
  </si>
  <si>
    <t>Bureau informatique 0.90x0.60x0.75 m</t>
  </si>
  <si>
    <t>55</t>
  </si>
  <si>
    <t>Bureau MDF 160x830x760 avec R+C</t>
  </si>
  <si>
    <t xml:space="preserve">2 وزارة </t>
  </si>
  <si>
    <t>56</t>
  </si>
  <si>
    <t>Bureau professeur</t>
  </si>
  <si>
    <t>57</t>
  </si>
  <si>
    <t>Câble de connexion (câble coaxial)</t>
  </si>
  <si>
    <t>58</t>
  </si>
  <si>
    <t>Calculatrice de bureau 16 chiffre</t>
  </si>
  <si>
    <t>59</t>
  </si>
  <si>
    <t>Calculatrice électrique GF lumineuse</t>
  </si>
  <si>
    <t>60</t>
  </si>
  <si>
    <t>Calculatrice électronique à ruban 12 chiffre lumineuse</t>
  </si>
  <si>
    <t>صفحة 03</t>
  </si>
  <si>
    <t>الحجابة</t>
  </si>
  <si>
    <t>61</t>
  </si>
  <si>
    <t>Cartable pour LAPTOP</t>
  </si>
  <si>
    <t>62</t>
  </si>
  <si>
    <t>Carte mémoire capacité 08 Go micro-SD avec adaptateur pour lecteur MP3</t>
  </si>
  <si>
    <t>63</t>
  </si>
  <si>
    <t>Carte réseau sans fil 802, 11n PCI double antenne</t>
  </si>
  <si>
    <t>64</t>
  </si>
  <si>
    <t>Casque Matech NT-HP 955</t>
  </si>
  <si>
    <t>65</t>
  </si>
  <si>
    <t>Chaise accoudoir pour agent</t>
  </si>
  <si>
    <t>66</t>
  </si>
  <si>
    <t>Chaise accoudoir pour bureau</t>
  </si>
  <si>
    <t>67</t>
  </si>
  <si>
    <t>Chaise Matière 100% hêtre, dessus simili cuir</t>
  </si>
  <si>
    <t>68</t>
  </si>
  <si>
    <t>Chaise opérateur</t>
  </si>
  <si>
    <t>69</t>
  </si>
  <si>
    <t>Chaise pour salle professeur</t>
  </si>
  <si>
    <t>70</t>
  </si>
  <si>
    <t>Chaise pour table de micro</t>
  </si>
  <si>
    <t>71</t>
  </si>
  <si>
    <t>Chaise pour table de micro (rembourré)</t>
  </si>
  <si>
    <t>72</t>
  </si>
  <si>
    <t>Chaise professeur avec accoudoir</t>
  </si>
  <si>
    <t>73</t>
  </si>
  <si>
    <t>Chaise professeurs</t>
  </si>
  <si>
    <t>74</t>
  </si>
  <si>
    <t>Chaise réfectoire</t>
  </si>
  <si>
    <t>75</t>
  </si>
  <si>
    <t>Chaise rembourrée tissu</t>
  </si>
  <si>
    <t>76</t>
  </si>
  <si>
    <t>Chaise scolaire</t>
  </si>
  <si>
    <t>77</t>
  </si>
  <si>
    <t>Chaise scolaire métal chromé avec accoudoir Skye</t>
  </si>
  <si>
    <t>78</t>
  </si>
  <si>
    <t>Crène GM</t>
  </si>
  <si>
    <t>79</t>
  </si>
  <si>
    <t>Clapet métallique 10 cases</t>
  </si>
  <si>
    <t>80</t>
  </si>
  <si>
    <t>Clapet métallique  05 cases</t>
  </si>
  <si>
    <t>81</t>
  </si>
  <si>
    <t>Clapet métallique 5C 1.30x0.40x0.32</t>
  </si>
  <si>
    <t>82</t>
  </si>
  <si>
    <t>Clapet métallique à 10 cases</t>
  </si>
  <si>
    <t>83</t>
  </si>
  <si>
    <t>coffre-fort 1.00x0.80x0.51</t>
  </si>
  <si>
    <t>84</t>
  </si>
  <si>
    <t>Comptoir de réception 2 mètre</t>
  </si>
  <si>
    <t>85</t>
  </si>
  <si>
    <t>Console</t>
  </si>
  <si>
    <t>86</t>
  </si>
  <si>
    <t>Convertisseur VGA/HDMI</t>
  </si>
  <si>
    <t>87</t>
  </si>
  <si>
    <t>Corbeille à papier maillée</t>
  </si>
  <si>
    <t>88</t>
  </si>
  <si>
    <t>Cordon avec fiche banane -Bleu-</t>
  </si>
  <si>
    <t>89</t>
  </si>
  <si>
    <t>Cordon avec fiche banane -Jaune-</t>
  </si>
  <si>
    <t>90</t>
  </si>
  <si>
    <t>Cordon avec fiche banane -Noir-</t>
  </si>
  <si>
    <t>صفحة 04</t>
  </si>
  <si>
    <t>91</t>
  </si>
  <si>
    <t>Cordon avec fiche banane -Rouge-</t>
  </si>
  <si>
    <t>92</t>
  </si>
  <si>
    <t>Cordon avec fiche banane -Vert-</t>
  </si>
  <si>
    <t>93</t>
  </si>
  <si>
    <t>DATA SHOW</t>
  </si>
  <si>
    <t>94</t>
  </si>
  <si>
    <t>Data Show EPSON</t>
  </si>
  <si>
    <t>95</t>
  </si>
  <si>
    <t>Data show ACER X117 HDMI</t>
  </si>
  <si>
    <t>96</t>
  </si>
  <si>
    <t>Desk sur estrade pour 06 sièges en bois MDF avec décoration; H 75cm, L 600cm</t>
  </si>
  <si>
    <t>97</t>
  </si>
  <si>
    <t>DESKTOP FUJITSU</t>
  </si>
  <si>
    <t>98</t>
  </si>
  <si>
    <t>Disque dur externe 1TR 2,5"</t>
  </si>
  <si>
    <t>99</t>
  </si>
  <si>
    <t>écran de projection (Roller screens 180x190cm)</t>
  </si>
  <si>
    <t>100</t>
  </si>
  <si>
    <t>Élément en bois</t>
  </si>
  <si>
    <t>101</t>
  </si>
  <si>
    <t>Élément en MDF ouvert</t>
  </si>
  <si>
    <t>102</t>
  </si>
  <si>
    <t>Élément en MDF salle de réunion suivant surface avec arrondi</t>
  </si>
  <si>
    <t>103</t>
  </si>
  <si>
    <t>Élément en MDF salle de réunion suivante surface</t>
  </si>
  <si>
    <t>104</t>
  </si>
  <si>
    <t>Élément MDF salle de réunion suivant surface avec arrondi</t>
  </si>
  <si>
    <t>105</t>
  </si>
  <si>
    <t>Enceintes phoniques</t>
  </si>
  <si>
    <t>106</t>
  </si>
  <si>
    <t>Ensemble de bracelet et cordons réglable</t>
  </si>
  <si>
    <t>107</t>
  </si>
  <si>
    <t>Ensemble de matériel pour la réalisation de circuits imprimes laque époxy 16/10 (Double face)</t>
  </si>
  <si>
    <t>108</t>
  </si>
  <si>
    <t>Ensemble de matériel pour la réalisation de circuits imprimes laque époxy 16/10 (simple face)</t>
  </si>
  <si>
    <t>109</t>
  </si>
  <si>
    <t>Extension standard Panasonic 3*8</t>
  </si>
  <si>
    <t>110</t>
  </si>
  <si>
    <t>Fauteuil chef service</t>
  </si>
  <si>
    <t>111</t>
  </si>
  <si>
    <t>Fauteuil direction en cuir pivotante et oscillation synchrone, accoudoirs en bois</t>
  </si>
  <si>
    <t>01 وزارة/01 بورقيقةة</t>
  </si>
  <si>
    <t>112</t>
  </si>
  <si>
    <t>Fauteuil opérateur de simili cuir accoudoir 05 roues</t>
  </si>
  <si>
    <t>113</t>
  </si>
  <si>
    <t>Fauteuil PDG</t>
  </si>
  <si>
    <t>114</t>
  </si>
  <si>
    <t>Fauteuil pour chef de service</t>
  </si>
  <si>
    <t>115</t>
  </si>
  <si>
    <t>Fauteuil pour responsable</t>
  </si>
  <si>
    <t>116</t>
  </si>
  <si>
    <t>Fauteuil pour responsable avec accoudoir pivotante habillé simili cuir 05 roues</t>
  </si>
  <si>
    <t>117</t>
  </si>
  <si>
    <t>Fauteuil pour salle de réunion</t>
  </si>
  <si>
    <t>118</t>
  </si>
  <si>
    <t>Fer à souder électrique(30W-220V)</t>
  </si>
  <si>
    <t>119</t>
  </si>
  <si>
    <t>Fer à souder électrique(60W-220V)</t>
  </si>
  <si>
    <t>120</t>
  </si>
  <si>
    <t>Fire wall ASA5505-BUN-K9</t>
  </si>
  <si>
    <t>صفحة 05</t>
  </si>
  <si>
    <t>121</t>
  </si>
  <si>
    <t>Flash disque 4Go</t>
  </si>
  <si>
    <t>122</t>
  </si>
  <si>
    <t>Fréquencemètre numérique</t>
  </si>
  <si>
    <t>123</t>
  </si>
  <si>
    <t>Gant antistatique</t>
  </si>
  <si>
    <t>124</t>
  </si>
  <si>
    <t>Générateur de fonction "FG8110"</t>
  </si>
  <si>
    <t>125</t>
  </si>
  <si>
    <t>Générateur de fonction 2 MHz</t>
  </si>
  <si>
    <t>126</t>
  </si>
  <si>
    <t>Générateur de fonction 2MHZ</t>
  </si>
  <si>
    <t>127</t>
  </si>
  <si>
    <t>Générateur de fonction FG 213</t>
  </si>
  <si>
    <t>128</t>
  </si>
  <si>
    <t>Générateur HF-BF (AM+FM) fréquence</t>
  </si>
  <si>
    <t>129</t>
  </si>
  <si>
    <t>Générateur VHF+Synthétiseur</t>
  </si>
  <si>
    <t>130</t>
  </si>
  <si>
    <t>Graveur DVD EXT</t>
  </si>
  <si>
    <t>131</t>
  </si>
  <si>
    <t>HP Scan JET 300</t>
  </si>
  <si>
    <t>132</t>
  </si>
  <si>
    <t>Imprimante Epson LQ 2090 A3 matricielle</t>
  </si>
  <si>
    <t>133</t>
  </si>
  <si>
    <t>Imprimante HP laser JET  M506 DN</t>
  </si>
  <si>
    <t>134</t>
  </si>
  <si>
    <t>Imprimante KYOCERA Ecosys FS-1040</t>
  </si>
  <si>
    <t>135</t>
  </si>
  <si>
    <t>Imprimante laser CANON</t>
  </si>
  <si>
    <t>136</t>
  </si>
  <si>
    <t>Imprimante Laser LBP 6030B CANON</t>
  </si>
  <si>
    <t>137</t>
  </si>
  <si>
    <t>Imprimante matriciel GM</t>
  </si>
  <si>
    <t>138</t>
  </si>
  <si>
    <t>Inductance à 4 décades</t>
  </si>
  <si>
    <t>139</t>
  </si>
  <si>
    <t>Kit de maintenance bicouche</t>
  </si>
  <si>
    <t>140</t>
  </si>
  <si>
    <t>Kit de nettoyage</t>
  </si>
  <si>
    <t>141</t>
  </si>
  <si>
    <t>Lecteur DVD externe</t>
  </si>
  <si>
    <t>142</t>
  </si>
  <si>
    <t>Lecteur MP3 USB avec lecteur carte mémoire M/SD</t>
  </si>
  <si>
    <t>143</t>
  </si>
  <si>
    <t>TABLE MONOPLACE D ETUDE</t>
  </si>
  <si>
    <t>144</t>
  </si>
  <si>
    <t>Magnétophone</t>
  </si>
  <si>
    <t>145</t>
  </si>
  <si>
    <t>Magnétoscope</t>
  </si>
  <si>
    <t>146</t>
  </si>
  <si>
    <t>Massicot A4</t>
  </si>
  <si>
    <t>147</t>
  </si>
  <si>
    <t>Micro casque spécial laboratoire de langue sans fil</t>
  </si>
  <si>
    <t>148</t>
  </si>
  <si>
    <t>Micro ordinateur Alfatron DV185-E/M</t>
  </si>
  <si>
    <t>149</t>
  </si>
  <si>
    <t>Micro ordinateur Core 2 duo DDRIII 2 Go/HDD 320 Go/ Graveur DVD 20X SATA/Écran 19 souris Clavier USB</t>
  </si>
  <si>
    <t>150</t>
  </si>
  <si>
    <t>Micro ordinateur de bureau Alfatron - Modèle DV185-E</t>
  </si>
  <si>
    <t>صفحة 06</t>
  </si>
  <si>
    <t>151</t>
  </si>
  <si>
    <t>MICRO SANS FIL</t>
  </si>
  <si>
    <t>2</t>
  </si>
  <si>
    <t>152</t>
  </si>
  <si>
    <t>Micro-ordinateur de bureau HP 2Go HDD 500Go Écran 20</t>
  </si>
  <si>
    <t>153</t>
  </si>
  <si>
    <t>Micro-ordinateur HP</t>
  </si>
  <si>
    <t>154</t>
  </si>
  <si>
    <t>Micro-ordinateur I3 4Go HDD 500Go Graveur DVD 20 X SATA Écran 19 Souris Clavier USB</t>
  </si>
  <si>
    <t>155</t>
  </si>
  <si>
    <t>Microprocesseur -Banc d'étude microcontrôleur-</t>
  </si>
  <si>
    <t>156</t>
  </si>
  <si>
    <t>Microprocesseur -Banc d'étude microprocesseur-</t>
  </si>
  <si>
    <t>157</t>
  </si>
  <si>
    <t>Microsystems didactique pour l'étude de caractéristiques de composants Exploitation des courbes des: Diodes- diodes Zener- transistors NPN et PNP- FET/ MOS- PET (canal N/P)- Tyristors</t>
  </si>
  <si>
    <t>158</t>
  </si>
  <si>
    <t>Millivoltmètre alternatif</t>
  </si>
  <si>
    <t>159</t>
  </si>
  <si>
    <t>Modem routeur D-LINK sans fil ADSL avec routeur</t>
  </si>
  <si>
    <t>160</t>
  </si>
  <si>
    <t>Modem VH120 avec antennes</t>
  </si>
  <si>
    <t>161</t>
  </si>
  <si>
    <t>Module CISCO SFP monomode GLC-LH-SMD</t>
  </si>
  <si>
    <t>162</t>
  </si>
  <si>
    <t>Module CISCO SFP multi mode GLC-SX-MMD</t>
  </si>
  <si>
    <t>163</t>
  </si>
  <si>
    <t>Moniteur 19,5"W (16:9) LED ALFATRON Multimédia TK19W-LED</t>
  </si>
  <si>
    <t>164</t>
  </si>
  <si>
    <t>Multimètre analogique</t>
  </si>
  <si>
    <t>165</t>
  </si>
  <si>
    <t>Multimètre digital "1906"</t>
  </si>
  <si>
    <t>166</t>
  </si>
  <si>
    <t>Multimètre numérique</t>
  </si>
  <si>
    <t>167</t>
  </si>
  <si>
    <t>Onduleur 650VA</t>
  </si>
  <si>
    <t>168</t>
  </si>
  <si>
    <t>Onduleur INFOSEC rack able 1KVA (600x500) pour sécurisé le Switch uniquement</t>
  </si>
  <si>
    <t>169</t>
  </si>
  <si>
    <t>Onduleur INFOSEC rackable 3KVA (760x500x240) pour sécurisé les équipements actif du rack LAB CISCO uniquement</t>
  </si>
  <si>
    <t>170</t>
  </si>
  <si>
    <t>Onduleur Le grand NIKY 800VA</t>
  </si>
  <si>
    <t>171</t>
  </si>
  <si>
    <t>Onduleur pour poste élève ALFATRON (PRIMO 650VA)</t>
  </si>
  <si>
    <t>172</t>
  </si>
  <si>
    <t>Onduleur pour serveur Elixatlas 1250VA</t>
  </si>
  <si>
    <t>173</t>
  </si>
  <si>
    <t>Onduleur, de marque d'origine et certifié Technologie On line 1000 VA</t>
  </si>
  <si>
    <t>174</t>
  </si>
  <si>
    <t>Oscilloscope analogique</t>
  </si>
  <si>
    <t>175</t>
  </si>
  <si>
    <t>Oscilloscope analogique/numérique</t>
  </si>
  <si>
    <t>176</t>
  </si>
  <si>
    <t>Oscilloscope double trace numérique</t>
  </si>
  <si>
    <t>177</t>
  </si>
  <si>
    <t>Outils</t>
  </si>
  <si>
    <t>178</t>
  </si>
  <si>
    <t>PC MAC PRO i3</t>
  </si>
  <si>
    <t>179</t>
  </si>
  <si>
    <t>PC portable DELL 2521 Intel Core i3 Ghz/4Go DDR3/500 G HDD/RW/WIFI/Écran 15.6</t>
  </si>
  <si>
    <t>180</t>
  </si>
  <si>
    <t>PC portable LENOVO</t>
  </si>
  <si>
    <t>ملغاة</t>
  </si>
  <si>
    <t>صفحة 07</t>
  </si>
  <si>
    <t>181</t>
  </si>
  <si>
    <t>Photocopieur multi service KYOCERA 1025</t>
  </si>
  <si>
    <t>182</t>
  </si>
  <si>
    <t>Photocopieur multiservice KYOCERA</t>
  </si>
  <si>
    <t>183</t>
  </si>
  <si>
    <t>Photocopieur Task alfa 1800 multifonction A3 / A4</t>
  </si>
  <si>
    <t>184</t>
  </si>
  <si>
    <t>Photocopieuse LASER couleur multiservice de marque</t>
  </si>
  <si>
    <t>185</t>
  </si>
  <si>
    <t>PINCE A SERIR RJ 45</t>
  </si>
  <si>
    <t>186</t>
  </si>
  <si>
    <t>Planning 500 fiche</t>
  </si>
  <si>
    <t>187</t>
  </si>
  <si>
    <t>Plaque d'essais BAKELITE</t>
  </si>
  <si>
    <t>188</t>
  </si>
  <si>
    <t>Platine d'alimentation</t>
  </si>
  <si>
    <t>189</t>
  </si>
  <si>
    <t>Pochette de maintenance informatique avec multimètre digital</t>
  </si>
  <si>
    <t>190</t>
  </si>
  <si>
    <t>Point d'accès Wi-Fi indoor HUAWEI AP7110DN-AGN PoE</t>
  </si>
  <si>
    <t>191</t>
  </si>
  <si>
    <t>Pompe à dessouder</t>
  </si>
  <si>
    <t>192</t>
  </si>
  <si>
    <t>Pont de mesure RLC</t>
  </si>
  <si>
    <t>193</t>
  </si>
  <si>
    <t>Porte manteau en bois à 05 tètes</t>
  </si>
  <si>
    <t>194</t>
  </si>
  <si>
    <t>Porte manteau INOX à 05 branches</t>
  </si>
  <si>
    <t>195</t>
  </si>
  <si>
    <t>poste de travail (un ordinateur-moniteur-clavier souris)</t>
  </si>
  <si>
    <t>196</t>
  </si>
  <si>
    <t>Poste délégué</t>
  </si>
  <si>
    <t>197</t>
  </si>
  <si>
    <t>Programmateur d'EPROM livré avec effaceur d'EPROM</t>
  </si>
  <si>
    <t>198</t>
  </si>
  <si>
    <t>Pupitre biplace</t>
  </si>
  <si>
    <t>199</t>
  </si>
  <si>
    <t>Pupitre biplace électronique</t>
  </si>
  <si>
    <t>200</t>
  </si>
  <si>
    <t>Pupitre de conférence</t>
  </si>
  <si>
    <t>201</t>
  </si>
  <si>
    <t>Rayonnage métallique</t>
  </si>
  <si>
    <t>4 م بوسماعيل</t>
  </si>
  <si>
    <t>202</t>
  </si>
  <si>
    <t>Rayonnage métallique 2.50x0.42 06P</t>
  </si>
  <si>
    <t>203</t>
  </si>
  <si>
    <r>
      <t>Rebot testeur, Livré avec un ordinateur-moniteu</t>
    </r>
    <r>
      <rPr>
        <sz val="11"/>
        <color indexed="8"/>
        <rFont val="Times New Roman"/>
        <family val="1"/>
      </rPr>
      <t>r-clavier souris</t>
    </r>
  </si>
  <si>
    <t>204</t>
  </si>
  <si>
    <t>Relieuse A4 180 pages</t>
  </si>
  <si>
    <t>205</t>
  </si>
  <si>
    <t>RLC mètre numérique "RLC 720"</t>
  </si>
  <si>
    <t>206</t>
  </si>
  <si>
    <t>Routeur CISCO 2921-V/K9</t>
  </si>
  <si>
    <t>207</t>
  </si>
  <si>
    <t>Routeur N°01 CISCO 1941/K9</t>
  </si>
  <si>
    <t>208</t>
  </si>
  <si>
    <t>Routeur N°02 CISCO 1941-SEC/K/9</t>
  </si>
  <si>
    <t>209</t>
  </si>
  <si>
    <t>210</t>
  </si>
  <si>
    <t>Routeur N°02 CISCO 2901/K9</t>
  </si>
  <si>
    <t>صفحة 08</t>
  </si>
  <si>
    <t>211</t>
  </si>
  <si>
    <t>Routeur N°03 CISCO 2901/K9</t>
  </si>
  <si>
    <t>212</t>
  </si>
  <si>
    <t>Routeur N°04 CISCO 2901/K9</t>
  </si>
  <si>
    <t>214</t>
  </si>
  <si>
    <t>Salon simili cuir 05 P pour bureau directeur</t>
  </si>
  <si>
    <t>215</t>
  </si>
  <si>
    <t>Salon simili cuir 05 pièces</t>
  </si>
  <si>
    <t>216</t>
  </si>
  <si>
    <t>Scie a métaux</t>
  </si>
  <si>
    <t>217</t>
  </si>
  <si>
    <t>Schématique: logiciel de simulation Edwin</t>
  </si>
  <si>
    <t>218</t>
  </si>
  <si>
    <t>Serveur ALFATRON - Modèle WT100FG3</t>
  </si>
  <si>
    <t>219</t>
  </si>
  <si>
    <t>Serveur HP proliant DL380G9 300Go+ 5HDD 6Go Rom</t>
  </si>
  <si>
    <t>220</t>
  </si>
  <si>
    <t>Serveur HP WORK Station Z440</t>
  </si>
  <si>
    <t>221</t>
  </si>
  <si>
    <t>Siège</t>
  </si>
  <si>
    <t>222</t>
  </si>
  <si>
    <t>Siège pour salle de conférence avec piétement central en acier</t>
  </si>
  <si>
    <t>223</t>
  </si>
  <si>
    <t>Siège sur roulette avec dossier réglable</t>
  </si>
  <si>
    <t>224</t>
  </si>
  <si>
    <t>Simulateur de logique combinatoire</t>
  </si>
  <si>
    <t>225</t>
  </si>
  <si>
    <t>Simulateur de logique séquentielle</t>
  </si>
  <si>
    <t>226</t>
  </si>
  <si>
    <t>Sirène électrique</t>
  </si>
  <si>
    <t>227</t>
  </si>
  <si>
    <t>Sirène PM</t>
  </si>
  <si>
    <t>228</t>
  </si>
  <si>
    <t>SONO MOBILE OS Sound</t>
  </si>
  <si>
    <t xml:space="preserve">ضياع </t>
  </si>
  <si>
    <t>229</t>
  </si>
  <si>
    <t>Standard téléphonique PANASONIC</t>
  </si>
  <si>
    <t>230</t>
  </si>
  <si>
    <t>Station de diagnostic semi-automatique</t>
  </si>
  <si>
    <t>231</t>
  </si>
  <si>
    <t>Station de soudage- dessoudage air chaud</t>
  </si>
  <si>
    <t>232</t>
  </si>
  <si>
    <t>Switch 16 ports TP Link</t>
  </si>
  <si>
    <t>233</t>
  </si>
  <si>
    <t>Switch CISCO catalyst WS-C2960+24TC-S V01</t>
  </si>
  <si>
    <t>234</t>
  </si>
  <si>
    <t>Switch CISCO catalyst WS-C2960X-24PS-L V04</t>
  </si>
  <si>
    <t>235</t>
  </si>
  <si>
    <t>Switch CISCO catalyst WS-C2960X-48PS-L V04</t>
  </si>
  <si>
    <t>236</t>
  </si>
  <si>
    <t>Switch N°01 CISCO WS-C2960+24TC-L</t>
  </si>
  <si>
    <t>237</t>
  </si>
  <si>
    <t>Switch N°02 CISCO WS-C2960+24TC-L</t>
  </si>
  <si>
    <t>238</t>
  </si>
  <si>
    <t>Switch N°03 CISCO WS-C2960+24TC-L</t>
  </si>
  <si>
    <t>239</t>
  </si>
  <si>
    <t>Switch optique N°1 CISCO WS-C3850-12S-S</t>
  </si>
  <si>
    <t>240</t>
  </si>
  <si>
    <t>Système Audio conférence</t>
  </si>
  <si>
    <t>صفحة 09</t>
  </si>
  <si>
    <t>241</t>
  </si>
  <si>
    <t>Table basse</t>
  </si>
  <si>
    <t>242</t>
  </si>
  <si>
    <t>Table basse 1.20x0.60 MDF</t>
  </si>
  <si>
    <t>243</t>
  </si>
  <si>
    <t>Table basse en MDF</t>
  </si>
  <si>
    <t>244</t>
  </si>
  <si>
    <t>Table de micro</t>
  </si>
  <si>
    <t>245</t>
  </si>
  <si>
    <t>Table de Mixage MM122</t>
  </si>
  <si>
    <t>246</t>
  </si>
  <si>
    <t>Table de travail avec deux sièges</t>
  </si>
  <si>
    <t>247</t>
  </si>
  <si>
    <t>Table de travail avec un siège et 02 lampes loupe</t>
  </si>
  <si>
    <t>248</t>
  </si>
  <si>
    <t>Table d'étude en bois MDF</t>
  </si>
  <si>
    <t>249</t>
  </si>
  <si>
    <t>Table élève</t>
  </si>
  <si>
    <t>250</t>
  </si>
  <si>
    <t>Table élève avec câblage encastré</t>
  </si>
  <si>
    <t>251</t>
  </si>
  <si>
    <t>Table pour imprimante et scanner</t>
  </si>
  <si>
    <t>252</t>
  </si>
  <si>
    <t>Table pour salle de réunion en MDF</t>
  </si>
  <si>
    <t>253</t>
  </si>
  <si>
    <t>Table pour salle professeur MDF</t>
  </si>
  <si>
    <t>254</t>
  </si>
  <si>
    <t xml:space="preserve">table pour micro ordinateur pour professeur </t>
  </si>
  <si>
    <t>255</t>
  </si>
  <si>
    <t>Table professeur avec câblage encastré</t>
  </si>
  <si>
    <t>256</t>
  </si>
  <si>
    <t>Table ronds en granito avec 04 bans en granito</t>
  </si>
  <si>
    <t>257</t>
  </si>
  <si>
    <t>Table scolaire</t>
  </si>
  <si>
    <t>258</t>
  </si>
  <si>
    <t>Table scolaire biplace (Bois)</t>
  </si>
  <si>
    <t>259</t>
  </si>
  <si>
    <t>Table scolaire monoplace</t>
  </si>
  <si>
    <t>260</t>
  </si>
  <si>
    <t>Tableau blanc ADT</t>
  </si>
  <si>
    <t>261</t>
  </si>
  <si>
    <t>Tableau blanc 1.00 m</t>
  </si>
  <si>
    <t>262</t>
  </si>
  <si>
    <t>Tableau blanc à 02 volet</t>
  </si>
  <si>
    <t>263</t>
  </si>
  <si>
    <t>Tableau blanc à 02 volets</t>
  </si>
  <si>
    <t>264</t>
  </si>
  <si>
    <t>Tableau d'affichage en Aluminium</t>
  </si>
  <si>
    <t>265</t>
  </si>
  <si>
    <t>Tableau d'affichage en aluminium 200x150 avec support</t>
  </si>
  <si>
    <t>266</t>
  </si>
  <si>
    <t>Tableau d'affichage liège 1M 20x92</t>
  </si>
  <si>
    <t>267</t>
  </si>
  <si>
    <t>Tableau de planning de 500 cartes</t>
  </si>
  <si>
    <t>268</t>
  </si>
  <si>
    <t>Tableau en bois 20  cm</t>
  </si>
  <si>
    <t>269</t>
  </si>
  <si>
    <t>Tableau pour affichage 1,2x0,9m</t>
  </si>
  <si>
    <t>270</t>
  </si>
  <si>
    <t>Tapis de sol</t>
  </si>
  <si>
    <t>صفحة 10</t>
  </si>
  <si>
    <t>271</t>
  </si>
  <si>
    <t>Tapis de table</t>
  </si>
  <si>
    <t>272</t>
  </si>
  <si>
    <t>Téléphone PANASONIC KX-TS 500 MX</t>
  </si>
  <si>
    <t>273</t>
  </si>
  <si>
    <t>Téléviseur LED 47 P</t>
  </si>
  <si>
    <t>274</t>
  </si>
  <si>
    <t>Téléviseur smart TV IRIS</t>
  </si>
  <si>
    <t>275</t>
  </si>
  <si>
    <t>Testeur de câble avec lampe loupe de précision+étau</t>
  </si>
  <si>
    <t>276</t>
  </si>
  <si>
    <t>Testeur de continuité de câble réseau</t>
  </si>
  <si>
    <t>277</t>
  </si>
  <si>
    <t>Testeur Réseau DK 8108</t>
  </si>
  <si>
    <t>278</t>
  </si>
  <si>
    <t>Testeur semi automatique; Livré avec un ordinateur-moniteur-clavier-souris+logiciels et accessoires</t>
  </si>
  <si>
    <t>279</t>
  </si>
  <si>
    <t>Valise d'outillage vide</t>
  </si>
  <si>
    <t>280</t>
  </si>
  <si>
    <t>Vidéo projecteur de marque Sanyo Modèle PLC SW30</t>
  </si>
  <si>
    <t>281</t>
  </si>
  <si>
    <t>Vidéo projecteur EB536Wi Interactif</t>
  </si>
  <si>
    <t>282</t>
  </si>
  <si>
    <t>Voltmètre analogique de table</t>
  </si>
  <si>
    <t>283</t>
  </si>
  <si>
    <t>Wattmètre</t>
  </si>
  <si>
    <t>284</t>
  </si>
  <si>
    <t>Web Cam spécial laboratoire de langue C920</t>
  </si>
  <si>
    <t>285</t>
  </si>
  <si>
    <t>routeur  son fil DSR 500 AC</t>
  </si>
  <si>
    <t>286</t>
  </si>
  <si>
    <t>Alimentation triple DC "PS 5305DS"</t>
  </si>
  <si>
    <t>287</t>
  </si>
  <si>
    <t>LAPTOP LENOVO THINKPAD</t>
  </si>
  <si>
    <t>288</t>
  </si>
  <si>
    <t>Cordon avec fiche banal</t>
  </si>
  <si>
    <t>289</t>
  </si>
  <si>
    <t xml:space="preserve">Chaise operateur  </t>
  </si>
  <si>
    <t>290</t>
  </si>
  <si>
    <t>Onduleur 650V ADR</t>
  </si>
  <si>
    <t>291</t>
  </si>
  <si>
    <t>Poste de travail HP 600G1</t>
  </si>
  <si>
    <t>292</t>
  </si>
  <si>
    <t>Diffuseur</t>
  </si>
  <si>
    <t>293</t>
  </si>
  <si>
    <t>Bureau Professeur 125x65 en bois</t>
  </si>
  <si>
    <t>294</t>
  </si>
  <si>
    <t>Bureau MDF 180x90</t>
  </si>
  <si>
    <t>295</t>
  </si>
  <si>
    <t>Multiprise électrique avec rallonge 5M</t>
  </si>
  <si>
    <t>296</t>
  </si>
  <si>
    <t>Agrafeuse métallique de bureau</t>
  </si>
  <si>
    <t>297</t>
  </si>
  <si>
    <t>Rallonge électrique 3m 5 sorties</t>
  </si>
  <si>
    <t>298</t>
  </si>
  <si>
    <t>Sous main</t>
  </si>
  <si>
    <t>299</t>
  </si>
  <si>
    <t>Montre murale (Cercle)</t>
  </si>
  <si>
    <t>300</t>
  </si>
  <si>
    <t>Montre murale</t>
  </si>
  <si>
    <t>صفحة 11</t>
  </si>
  <si>
    <t>301</t>
  </si>
  <si>
    <t>Dateur TRODAT 4810 arabe</t>
  </si>
  <si>
    <t>302</t>
  </si>
  <si>
    <t>Dateur TRODAT 4810 français</t>
  </si>
  <si>
    <t>303</t>
  </si>
  <si>
    <t>Point d'accès Wifi Outlook ALTAI AP5822 PoE</t>
  </si>
  <si>
    <t>304</t>
  </si>
  <si>
    <t>Banner 2,00 x 0,80 avec support</t>
  </si>
  <si>
    <t>305</t>
  </si>
  <si>
    <t>Cadre de Président</t>
  </si>
  <si>
    <t>306</t>
  </si>
  <si>
    <t>Cadre de Hymane National de L'ALGERIE</t>
  </si>
  <si>
    <t>307</t>
  </si>
  <si>
    <t>Chevalet de bureau</t>
  </si>
  <si>
    <t>308</t>
  </si>
  <si>
    <t>Chevalier de bureau importation</t>
  </si>
  <si>
    <t>309</t>
  </si>
  <si>
    <t>Emblème de bureau</t>
  </si>
  <si>
    <t>310</t>
  </si>
  <si>
    <t>Emblèmes présidentiel Socle Bois et Cuivre</t>
  </si>
  <si>
    <t>311</t>
  </si>
  <si>
    <t>Kit Parabole Complet</t>
  </si>
  <si>
    <t>312</t>
  </si>
  <si>
    <t>poubelle charriot</t>
  </si>
  <si>
    <t>313</t>
  </si>
  <si>
    <t>poubelle GM</t>
  </si>
  <si>
    <t>314</t>
  </si>
  <si>
    <t>Poubelle GM en plastique avec roue</t>
  </si>
  <si>
    <t>315</t>
  </si>
  <si>
    <t>Poubelle INOX</t>
  </si>
  <si>
    <t>316</t>
  </si>
  <si>
    <t>Poubelle Mural en métal</t>
  </si>
  <si>
    <t>317</t>
  </si>
  <si>
    <t>Poubelle Publics Inox Fixe</t>
  </si>
  <si>
    <t>318</t>
  </si>
  <si>
    <t>Plaque de porte</t>
  </si>
  <si>
    <t>319</t>
  </si>
  <si>
    <t>LoCALISATEUR DE COURT CIRCUIT</t>
  </si>
  <si>
    <t>320</t>
  </si>
  <si>
    <t>Stores F15 DIM L 2,10 X H 150</t>
  </si>
  <si>
    <t>321</t>
  </si>
  <si>
    <t>Stores F16 DIM L 0,50 X H 150</t>
  </si>
  <si>
    <t>322</t>
  </si>
  <si>
    <t>Stores F17 DIM L 2,10 X H 1,30</t>
  </si>
  <si>
    <t>323</t>
  </si>
  <si>
    <t>Stores F18 DIM L 1,10 X H 1,30</t>
  </si>
  <si>
    <t>324</t>
  </si>
  <si>
    <t>Stores F19 DIM L 0,60 X H 1,30</t>
  </si>
  <si>
    <t>325</t>
  </si>
  <si>
    <t>Stores F20 DIM L 0,80 X H 2,00</t>
  </si>
  <si>
    <t>326</t>
  </si>
  <si>
    <t>Stores F21 DIM L 2,00 X H 2,00</t>
  </si>
  <si>
    <t>327</t>
  </si>
  <si>
    <t>Stores F22 DIM L 1,40 X H 1,60</t>
  </si>
  <si>
    <t>328</t>
  </si>
  <si>
    <t>Stores F23 DIM L 0,60 X H 1,60</t>
  </si>
  <si>
    <t>329</t>
  </si>
  <si>
    <t>Stores F24 DIM L 0,60 X H 1,60</t>
  </si>
  <si>
    <t>330</t>
  </si>
  <si>
    <t>Stores F25 DIM L 0,70 X H 1,30</t>
  </si>
  <si>
    <t>صفحة 12</t>
  </si>
  <si>
    <t>331</t>
  </si>
  <si>
    <t>Stores F3 DIM L 0,60 X H 1,60</t>
  </si>
  <si>
    <t>332</t>
  </si>
  <si>
    <t>DDR 4TEIYU32008G</t>
  </si>
  <si>
    <t>333</t>
  </si>
  <si>
    <t>SWITCH 48 PORTS RG 45</t>
  </si>
  <si>
    <t>334</t>
  </si>
  <si>
    <t>BARRE DE MEMEOIR DDR3</t>
  </si>
  <si>
    <t>335</t>
  </si>
  <si>
    <t>BARRE DE MEMEOIR DDR4860</t>
  </si>
  <si>
    <t>336</t>
  </si>
  <si>
    <t>DDR 4TEAMELITE 8G 2666</t>
  </si>
  <si>
    <t>337</t>
  </si>
  <si>
    <t>CARTEGR APHIQUE NVI DE A 2G</t>
  </si>
  <si>
    <t>338</t>
  </si>
  <si>
    <t>RAM CRUCIAL 08 G B DDR42400UDIMM</t>
  </si>
  <si>
    <t>339</t>
  </si>
  <si>
    <t>UNITE CENTRALE VIDE</t>
  </si>
  <si>
    <t>340</t>
  </si>
  <si>
    <t>LECTEUR CD</t>
  </si>
  <si>
    <t>341</t>
  </si>
  <si>
    <t>BLOC DALIMENTATION 400W</t>
  </si>
  <si>
    <t>342</t>
  </si>
  <si>
    <t>HDD TOSHIBA P3003,515 BINTERNE</t>
  </si>
  <si>
    <t>343</t>
  </si>
  <si>
    <t>DDR 38GB PC</t>
  </si>
  <si>
    <t>344</t>
  </si>
  <si>
    <t>MÉMOIRE MICRON DDR 42400 UDIMM 16GB</t>
  </si>
  <si>
    <t>345</t>
  </si>
  <si>
    <t>Mirroir Bleu</t>
  </si>
  <si>
    <t>346</t>
  </si>
  <si>
    <t>Moustique killer</t>
  </si>
  <si>
    <t>347</t>
  </si>
  <si>
    <t>Citèrne 1000 litres</t>
  </si>
  <si>
    <t>348</t>
  </si>
  <si>
    <t>carte réseau</t>
  </si>
  <si>
    <t>349</t>
  </si>
  <si>
    <t>AIO ASUS V24 I5 1135 G7 8GB 256 SSD WIN 10</t>
  </si>
  <si>
    <t>350</t>
  </si>
  <si>
    <t>Alimentation FSP ATX-400 PNR PRO 400W</t>
  </si>
  <si>
    <t>351</t>
  </si>
  <si>
    <t>BATTERIE VART 74 AH</t>
  </si>
  <si>
    <t>352</t>
  </si>
  <si>
    <t>DATA SHOW PM</t>
  </si>
  <si>
    <t>353</t>
  </si>
  <si>
    <t>Kit outil Reseau</t>
  </si>
  <si>
    <t>354</t>
  </si>
  <si>
    <t>Multi prise paraseurtenseur APC Essential surgearrest 5</t>
  </si>
  <si>
    <t>355</t>
  </si>
  <si>
    <t>Onduleur APC Smart UPS C 1500 VA 2U Rack</t>
  </si>
  <si>
    <t>356</t>
  </si>
  <si>
    <t>Onduleur Maxipower 800 VA Prise 4 Sorties</t>
  </si>
  <si>
    <t>357</t>
  </si>
  <si>
    <t>Projecteur EPSON Multimedia EB 01 SVGA</t>
  </si>
  <si>
    <t>358</t>
  </si>
  <si>
    <t>UPS FSP FP 1000 1000 VA 6000 W IEC</t>
  </si>
  <si>
    <t>359</t>
  </si>
  <si>
    <t>TROUSSE POUR INSTALASION ET MAINTEENANCE RESEAUX LAN</t>
  </si>
  <si>
    <t>360</t>
  </si>
  <si>
    <t>ALimentation TRIPLE DC PS5305 DS</t>
  </si>
  <si>
    <t>صفحة 13</t>
  </si>
  <si>
    <t>361</t>
  </si>
  <si>
    <t>DIFFUSEUR</t>
  </si>
  <si>
    <t>362</t>
  </si>
  <si>
    <t>TABLE D ETUDE MONOPLACE</t>
  </si>
  <si>
    <t>363</t>
  </si>
  <si>
    <t xml:space="preserve">BUREAU DIM 1,60*0,83*0,76M/H AVEC 03 COISSONS </t>
  </si>
  <si>
    <t>364</t>
  </si>
  <si>
    <t>FAUTEUIL POUR RESPONSABLE ANEC ACCODOIRS SUPPORT CUIRE</t>
  </si>
  <si>
    <t>365</t>
  </si>
  <si>
    <t>FAUTEUIL DE BUREAU *FAUTEUIL FORME COQULLE*</t>
  </si>
  <si>
    <t>366</t>
  </si>
  <si>
    <t>TABLE AU D AFFICHAGE NITRè ALUMUNOME 1,50</t>
  </si>
  <si>
    <t>367</t>
  </si>
  <si>
    <t>CADRE PRESIDENT</t>
  </si>
  <si>
    <t>368</t>
  </si>
  <si>
    <t>DRAPEAU +SOCLE EN CUIVE GM</t>
  </si>
  <si>
    <t>369</t>
  </si>
  <si>
    <t>DRAPEAUPOUR SOCLE 15 CM</t>
  </si>
  <si>
    <t>370</t>
  </si>
  <si>
    <t>BAC A FICHE</t>
  </si>
  <si>
    <t>371</t>
  </si>
  <si>
    <t>TABLEAU PLANING 250 FICFES</t>
  </si>
  <si>
    <t>372</t>
  </si>
  <si>
    <t>ARMOIR METALIQUE 02 PORT</t>
  </si>
  <si>
    <t>373</t>
  </si>
  <si>
    <t>SONORISATION PORTABLE</t>
  </si>
  <si>
    <t>374</t>
  </si>
  <si>
    <t>MODULE CISCOS FPMULTI MODE GLC -SX- MMD</t>
  </si>
  <si>
    <t>375</t>
  </si>
  <si>
    <t>DATASHOW 3400 LUMEUS VGA HDMI</t>
  </si>
  <si>
    <t>376</t>
  </si>
  <si>
    <t>FLASH DISQUE 32 G B30</t>
  </si>
  <si>
    <t>377</t>
  </si>
  <si>
    <t>CARTE GRAPHIQUE NVIAè 2 GB</t>
  </si>
  <si>
    <t>378</t>
  </si>
  <si>
    <t>RAM 4GB DDR4</t>
  </si>
  <si>
    <t>379</t>
  </si>
  <si>
    <t>RAM 4GB DDR3</t>
  </si>
  <si>
    <t>380</t>
  </si>
  <si>
    <t>PINCE Àsertir</t>
  </si>
  <si>
    <t>381</t>
  </si>
  <si>
    <t>D DUR SSD 256 GB</t>
  </si>
  <si>
    <t>382</t>
  </si>
  <si>
    <t>POWER METTR</t>
  </si>
  <si>
    <t>383</t>
  </si>
  <si>
    <t>ONDULEUR 600VA</t>
  </si>
  <si>
    <t>384</t>
  </si>
  <si>
    <t>ARDWINO UNO</t>
  </si>
  <si>
    <t>385</t>
  </si>
  <si>
    <t>KIT DE 16 CAPTEURS PRO</t>
  </si>
  <si>
    <t>386</t>
  </si>
  <si>
    <t>KIT ROBOT VOITURE CHASSIE AVEC 04 ROUES</t>
  </si>
  <si>
    <t>387</t>
  </si>
  <si>
    <t>DISQUE SSD01 TB</t>
  </si>
  <si>
    <t>388</t>
  </si>
  <si>
    <t>IMPRIMANT LASER A4</t>
  </si>
  <si>
    <t>389</t>
  </si>
  <si>
    <t>LAPTOPI 310110 0U/4GB/2566</t>
  </si>
  <si>
    <t>390</t>
  </si>
  <si>
    <t>ONDULEUR APC Smart  MPSC 1500 VA</t>
  </si>
  <si>
    <t>صفحة 14</t>
  </si>
  <si>
    <t>391</t>
  </si>
  <si>
    <t>MÉMOIRE DDR 4 GB DIMM2400 MHZ</t>
  </si>
  <si>
    <t>392</t>
  </si>
  <si>
    <t>DISQUE NVME1 TB</t>
  </si>
  <si>
    <t>393</t>
  </si>
  <si>
    <t>PANNEAU LED</t>
  </si>
  <si>
    <t>394</t>
  </si>
  <si>
    <t>DISQUE DUR SAS POUR HP PROIIANT 12 GB2,4 TD</t>
  </si>
  <si>
    <t>395</t>
  </si>
  <si>
    <t>RAM POUR HP PROLINT G9 DDR 2400T 16 GB</t>
  </si>
  <si>
    <t>396</t>
  </si>
  <si>
    <t>RAM DDR416 GB POUR VINITèFIJITSU</t>
  </si>
  <si>
    <t>397</t>
  </si>
  <si>
    <t>RIA DINCENDIE DN 25/30</t>
  </si>
  <si>
    <t>398</t>
  </si>
  <si>
    <t>UPS FSPFP 10001000 VA/6000W IEC</t>
  </si>
  <si>
    <t>399</t>
  </si>
  <si>
    <t>MULTIPRISE PARASURTEN SUR APC</t>
  </si>
  <si>
    <t>400</t>
  </si>
  <si>
    <t>SURTCH AUDIO COFERANCE</t>
  </si>
  <si>
    <t>401</t>
  </si>
  <si>
    <t xml:space="preserve">calculatrice GM </t>
  </si>
  <si>
    <t>402</t>
  </si>
  <si>
    <t>armoire métallique  véstiaires</t>
  </si>
  <si>
    <t>403</t>
  </si>
  <si>
    <t>banderoles en nomerique sur baché</t>
  </si>
  <si>
    <t>404</t>
  </si>
  <si>
    <t xml:space="preserve">MODEM  ZXHN </t>
  </si>
  <si>
    <t>405</t>
  </si>
  <si>
    <t xml:space="preserve">MODEM  F660 </t>
  </si>
  <si>
    <t>406</t>
  </si>
  <si>
    <t xml:space="preserve">MODEM  F200 </t>
  </si>
  <si>
    <t>407</t>
  </si>
  <si>
    <t xml:space="preserve">MODEM  H118N </t>
  </si>
  <si>
    <t>408</t>
  </si>
  <si>
    <t xml:space="preserve">MODEM  H168N </t>
  </si>
  <si>
    <t>409</t>
  </si>
  <si>
    <t xml:space="preserve">MODEM  H108N </t>
  </si>
  <si>
    <t>410</t>
  </si>
  <si>
    <t>CLAVIER LOGITECH STANDARD</t>
  </si>
  <si>
    <t>411</t>
  </si>
  <si>
    <t xml:space="preserve">SOURIS LOGITECH OPTIQUE </t>
  </si>
  <si>
    <t>412</t>
  </si>
  <si>
    <t>zxcoud ibox  réf ct 321</t>
  </si>
  <si>
    <t>413</t>
  </si>
  <si>
    <t>CLOUD ZXCOUD I BOX REF CT321</t>
  </si>
  <si>
    <t>414</t>
  </si>
  <si>
    <t>CLOUD BOX REF C161003493820</t>
  </si>
  <si>
    <t>415</t>
  </si>
  <si>
    <t>CLOUD BOX REF C161003493933</t>
  </si>
  <si>
    <t>416</t>
  </si>
  <si>
    <t xml:space="preserve">table monoplase d edude </t>
  </si>
  <si>
    <t>417</t>
  </si>
  <si>
    <t>armoire de brassage linko 12u</t>
  </si>
  <si>
    <t>418</t>
  </si>
  <si>
    <t xml:space="preserve">bureau  1,60*0,76*0,76  m/h  avec 03 caisson et routeur en mdf </t>
  </si>
  <si>
    <t>419</t>
  </si>
  <si>
    <t>micro ordinateur 13 ram 4 go 01 tb</t>
  </si>
  <si>
    <t>420</t>
  </si>
  <si>
    <t>fhotocopieur multifonction A3</t>
  </si>
  <si>
    <t>421</t>
  </si>
  <si>
    <t xml:space="preserve">fhotocopieur  A3 laser couleur </t>
  </si>
  <si>
    <t>422</t>
  </si>
  <si>
    <t xml:space="preserve">coffre fort 01porte </t>
  </si>
  <si>
    <t>423</t>
  </si>
  <si>
    <t>imprimante EPSON l3210</t>
  </si>
  <si>
    <t>424</t>
  </si>
  <si>
    <t>photocopeur canon 2224</t>
  </si>
  <si>
    <t>425</t>
  </si>
  <si>
    <t>426</t>
  </si>
  <si>
    <t>FAUTEUIL</t>
  </si>
  <si>
    <t>427</t>
  </si>
  <si>
    <t xml:space="preserve">laptop hp 15 dw 3032 </t>
  </si>
  <si>
    <t>428</t>
  </si>
  <si>
    <t>pc loptop i3 ddr 1tb 4 go ecron 15,6</t>
  </si>
  <si>
    <t>429</t>
  </si>
  <si>
    <t>téleviseur 50 simple</t>
  </si>
  <si>
    <t>430</t>
  </si>
  <si>
    <t xml:space="preserve">appareil photo pro </t>
  </si>
  <si>
    <t>صفحة 15</t>
  </si>
  <si>
    <t>431</t>
  </si>
  <si>
    <t>paire enceirte basse impedence 02 fiche JAKSON 650 W</t>
  </si>
  <si>
    <t>1</t>
  </si>
  <si>
    <t>432</t>
  </si>
  <si>
    <t xml:space="preserve">griffe cachet ANNULE </t>
  </si>
  <si>
    <t>433</t>
  </si>
  <si>
    <t>griffe معفى من التخليص</t>
  </si>
  <si>
    <t>434</t>
  </si>
  <si>
    <t xml:space="preserve">griffe cachet البريد الوارد  </t>
  </si>
  <si>
    <t>435</t>
  </si>
  <si>
    <t xml:space="preserve">griffe cachet البريد الصادر  </t>
  </si>
  <si>
    <t>436</t>
  </si>
  <si>
    <t xml:space="preserve">griffe 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</si>
  <si>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</si>
  <si>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</si>
  <si>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</si>
  <si>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</si>
  <si>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</si>
  <si>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</si>
  <si>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</si>
  <si>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</si>
  <si>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</si>
  <si>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</si>
  <si>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</si>
  <si>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</si>
  <si>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</si>
  <si>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</si>
  <si>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</si>
  <si>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</si>
  <si>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</si>
  <si>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</si>
  <si>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</si>
  <si>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</si>
  <si>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</si>
  <si>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</si>
  <si>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</si>
  <si>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</si>
  <si>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</si>
  <si>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</si>
  <si>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</si>
  <si>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</si>
  <si>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</si>
  <si>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</si>
  <si>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</si>
  <si>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</si>
  <si>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</si>
  <si>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</si>
  <si>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صفحة 16</t>
  </si>
  <si>
    <t>DIVISION :B</t>
  </si>
  <si>
    <t>B</t>
  </si>
  <si>
    <t>Bain D Huile geant</t>
  </si>
  <si>
    <t>Chauf  Bain 11L</t>
  </si>
  <si>
    <t>Climatiseur SPLIT 12000BTU</t>
  </si>
  <si>
    <t>Climatiseur SPLIT 18000BTU</t>
  </si>
  <si>
    <t>Climatiseur SPLIT 24000BTU</t>
  </si>
  <si>
    <t>Climatiseur Split sysmtème 18000 BTU</t>
  </si>
  <si>
    <t>Climatiseur STARLIGHT split système tropical 18000BTU</t>
  </si>
  <si>
    <t>Cumillus 50L</t>
  </si>
  <si>
    <t>Cumillus 80L</t>
  </si>
  <si>
    <t>Eclairage publique LED 100W</t>
  </si>
  <si>
    <t>Eclairage publique LED 150W</t>
  </si>
  <si>
    <t>CLIMATISEUR SPLIT RYRTEM 24000</t>
  </si>
  <si>
    <t>Chauf  Bain JUNKERS</t>
  </si>
  <si>
    <t>EXTINCTEUR A NEIGE COBON CO2 06 KG</t>
  </si>
  <si>
    <t>EXTINCTEUR APOUDR 09 KG</t>
  </si>
  <si>
    <t>EXTINCTEUR A NEIGE COBON CO2 02 KG</t>
  </si>
  <si>
    <t>EXTINCTEUR A EAU PUBRERISèE ATO 09 L</t>
  </si>
  <si>
    <t>batterie 74 ah</t>
  </si>
  <si>
    <t>groupe electrogene</t>
  </si>
  <si>
    <t>chauffe bain  10 l</t>
  </si>
  <si>
    <t xml:space="preserve"> EXTINTEUR  POUDRE 50KG</t>
  </si>
  <si>
    <t>صفحة 17</t>
  </si>
  <si>
    <t>DIVISION :C</t>
  </si>
  <si>
    <t>C</t>
  </si>
  <si>
    <t>Crwn -Gasoline Broush Cutter CT 20050</t>
  </si>
  <si>
    <t>Debrossayeuse</t>
  </si>
  <si>
    <t>Perceuse crown (16mm)</t>
  </si>
  <si>
    <t>Pompe à eau</t>
  </si>
  <si>
    <t>Pompe d'eau50-160/75 7,5CH</t>
  </si>
  <si>
    <t>Pompe emergie PENTAX</t>
  </si>
  <si>
    <t>pompe pedrolo 3 turbines</t>
  </si>
  <si>
    <t>TRANCEUNEUSE CROWN 230</t>
  </si>
  <si>
    <t>POMPE IMMERG 04 L 12-10-4HP</t>
  </si>
  <si>
    <t>POMPE HORIG XST50-160/55</t>
  </si>
  <si>
    <t>CITERNE 1500L</t>
  </si>
  <si>
    <t>TRANCEUNEUSE CROWN 720W</t>
  </si>
  <si>
    <t xml:space="preserve">Pompe à  souder </t>
  </si>
  <si>
    <t xml:space="preserve">pompe leo </t>
  </si>
  <si>
    <t>pompe mazout</t>
  </si>
  <si>
    <t xml:space="preserve">CREVEAU  pmpe </t>
  </si>
  <si>
    <t xml:space="preserve">KARCHER </t>
  </si>
  <si>
    <t>صفحة 18</t>
  </si>
  <si>
    <t>DIVISION :D</t>
  </si>
  <si>
    <t>D</t>
  </si>
  <si>
    <t>صفحة 19</t>
  </si>
  <si>
    <t>DIVISION :E</t>
  </si>
  <si>
    <t>E</t>
  </si>
  <si>
    <t>Couette 01 place</t>
  </si>
  <si>
    <t>0</t>
  </si>
  <si>
    <t>Couette 01 places</t>
  </si>
  <si>
    <t>Couvre matelas 01 place</t>
  </si>
  <si>
    <t>Couvre matelas 01 places</t>
  </si>
  <si>
    <t>Housse oreillers</t>
  </si>
  <si>
    <t>Lit métallique superposé</t>
  </si>
  <si>
    <t>Lits métallique superposable</t>
  </si>
  <si>
    <t>Matelas orthopédique 01 place</t>
  </si>
  <si>
    <t>Matelas orthopédique 01 places 1.90x90x20</t>
  </si>
  <si>
    <t>Oreillers</t>
  </si>
  <si>
    <t>Paire de drap 01 place</t>
  </si>
  <si>
    <t>Paire de drap 01 places</t>
  </si>
  <si>
    <t>Poubelle en INOX pour chambre</t>
  </si>
  <si>
    <t>Couette</t>
  </si>
  <si>
    <t>drap 01 p</t>
  </si>
  <si>
    <t>صفحة 20</t>
  </si>
  <si>
    <t>DIVISION :F</t>
  </si>
  <si>
    <t>F</t>
  </si>
  <si>
    <t>Appareil à jus 03 bacs</t>
  </si>
  <si>
    <t>Araigné INOX</t>
  </si>
  <si>
    <t>Armoire frigorifique 02 portes</t>
  </si>
  <si>
    <t>Bais à rouler le couscous 065</t>
  </si>
  <si>
    <t>Balance</t>
  </si>
  <si>
    <t>Bascule automatique 300 KGS à cardon</t>
  </si>
  <si>
    <t>Bassine galvanisée 45L</t>
  </si>
  <si>
    <t>Bassine galvanisée 60L</t>
  </si>
  <si>
    <t>Bouteille à gaz</t>
  </si>
  <si>
    <t>Braisières 45L</t>
  </si>
  <si>
    <t>Cafethiere 14 tasse</t>
  </si>
  <si>
    <t>Chaise pour foyer</t>
  </si>
  <si>
    <t>Chaise refectoire</t>
  </si>
  <si>
    <t>Chariot à 03 niveaux</t>
  </si>
  <si>
    <t>Ciseau de poulet</t>
  </si>
  <si>
    <t>Comptoir frigo</t>
  </si>
  <si>
    <t>Coupe frite sur pied</t>
  </si>
  <si>
    <t>Coupe pain à main</t>
  </si>
  <si>
    <t>Couscoussière</t>
  </si>
  <si>
    <t>Dénoyauteurs</t>
  </si>
  <si>
    <t>Ecumoire de 15 cm</t>
  </si>
  <si>
    <t>F/P Chariot à 02 niveaux</t>
  </si>
  <si>
    <t>F/P Chariot à 03 niveaux</t>
  </si>
  <si>
    <t>F/P Chariot à pain</t>
  </si>
  <si>
    <t>F/P Eplucheuse PL8 100 KGS/H</t>
  </si>
  <si>
    <t>F/P Etal de bouchée avec barre à viande</t>
  </si>
  <si>
    <t>F/P Machine à café 04 bras</t>
  </si>
  <si>
    <t>F/P Plonge à 02 BACS</t>
  </si>
  <si>
    <t>F/P Table de travail dessus INOX</t>
  </si>
  <si>
    <t>Fait tout 45 litres</t>
  </si>
  <si>
    <t>صفحة 21</t>
  </si>
  <si>
    <t>Fait tout 45L</t>
  </si>
  <si>
    <t>Fouet chromé GM</t>
  </si>
  <si>
    <t>Four à 02 étages</t>
  </si>
  <si>
    <t>Fourneau à gaz 04 feux + 01 four</t>
  </si>
  <si>
    <t>Frigo 160L</t>
  </si>
  <si>
    <t>Frigo 400L</t>
  </si>
  <si>
    <t>Frigo comptoire présentoir</t>
  </si>
  <si>
    <t>Hache de boucher</t>
  </si>
  <si>
    <t>Hachoir à viande</t>
  </si>
  <si>
    <t>Hotte de cuisine avec caisson d'extraction</t>
  </si>
  <si>
    <t>Légumière INOX</t>
  </si>
  <si>
    <t>Lime de couteau</t>
  </si>
  <si>
    <t>Louche 20cm</t>
  </si>
  <si>
    <t>Marmite 45L avec couscoussier</t>
  </si>
  <si>
    <t>Marmite chauffe directe à gaz</t>
  </si>
  <si>
    <t>Mixeur mélangeur</t>
  </si>
  <si>
    <t>Ouvre boite</t>
  </si>
  <si>
    <t>Passe puré et légumes sur pied</t>
  </si>
  <si>
    <t>Passe sauce chinois</t>
  </si>
  <si>
    <t>Percolateur électrique</t>
  </si>
  <si>
    <t>Plat américain INOX</t>
  </si>
  <si>
    <t>Plat ovale chromé GM</t>
  </si>
  <si>
    <t>Plat rond chromé GM</t>
  </si>
  <si>
    <t>Plat roti 44x60</t>
  </si>
  <si>
    <t>Plateau</t>
  </si>
  <si>
    <t>Réchaud trépied</t>
  </si>
  <si>
    <t>Réchaud trépied (chapée)</t>
  </si>
  <si>
    <t>Sauteuse basculante à gaz</t>
  </si>
  <si>
    <t>Série de 03 casseroles 20 à 32cm</t>
  </si>
  <si>
    <t>Série de 05 couteaux de cuisine INOX</t>
  </si>
  <si>
    <t>صفحة 22</t>
  </si>
  <si>
    <t>Soupière INOX (BCR)</t>
  </si>
  <si>
    <t>Spatule en bois</t>
  </si>
  <si>
    <t>Sucriere</t>
  </si>
  <si>
    <t>T.S Cafe</t>
  </si>
  <si>
    <t>T.S The</t>
  </si>
  <si>
    <t>Table de réfectoire</t>
  </si>
  <si>
    <t>Table de travail dessus INOX</t>
  </si>
  <si>
    <t>Table pour foyer</t>
  </si>
  <si>
    <t>Table réfectoire 06 places</t>
  </si>
  <si>
    <t>Table réfectoire 08 places</t>
  </si>
  <si>
    <t>Tasse a cafe au lait (service)</t>
  </si>
  <si>
    <t>Thermos GM</t>
  </si>
  <si>
    <t>Thermos GP 03 litres</t>
  </si>
  <si>
    <t>Thermos PM</t>
  </si>
  <si>
    <t xml:space="preserve">couteau de pain </t>
  </si>
  <si>
    <t>LOUCHEA TABLE INOX</t>
  </si>
  <si>
    <t>ASSIETTE CREUSE DURELEX</t>
  </si>
  <si>
    <t>ASSIETTE PLAT DURELEX</t>
  </si>
  <si>
    <t>BOL ARCAROC ANTICHOC</t>
  </si>
  <si>
    <t>COUTEAU DE TABLE INOX</t>
  </si>
  <si>
    <t>VERRE A EAU DURALEX</t>
  </si>
  <si>
    <t>PANIER POUR PAIN</t>
  </si>
  <si>
    <t>FOURCHETTE</t>
  </si>
  <si>
    <t>Cuillère Soupe</t>
  </si>
  <si>
    <t>Cuillère a  Café</t>
  </si>
  <si>
    <t>FLACON ASSAISONNEMENT</t>
  </si>
  <si>
    <t>DESSOUS PLATS INOX</t>
  </si>
  <si>
    <t>SALIèRE POIVRE</t>
  </si>
  <si>
    <t>SERVICE A CAFè12 PC</t>
  </si>
  <si>
    <t>سنية كبيرة الحجم</t>
  </si>
  <si>
    <t>صفحة 23</t>
  </si>
  <si>
    <t>SERVICE A Thy</t>
  </si>
  <si>
    <t>TERMOS THèR</t>
  </si>
  <si>
    <t>TERMOS CAFè</t>
  </si>
  <si>
    <t>HACHE A VIANDE PM</t>
  </si>
  <si>
    <t>plateau pour café</t>
  </si>
  <si>
    <t>couteau bouche</t>
  </si>
  <si>
    <t>Cafethiere</t>
  </si>
  <si>
    <t>Broc a eau inox 1.5 l</t>
  </si>
  <si>
    <t>صفحة 24</t>
  </si>
  <si>
    <t>DIVISION :G</t>
  </si>
  <si>
    <t>G</t>
  </si>
  <si>
    <t>Brouette chantier</t>
  </si>
  <si>
    <t>Caisse à outil 05 casntb lux</t>
  </si>
  <si>
    <t>Chalimo + btiquet</t>
  </si>
  <si>
    <t>CISEAU GAZON GM</t>
  </si>
  <si>
    <t>Ciseaux</t>
  </si>
  <si>
    <t>cle a griffe 14 berent bti 163</t>
  </si>
  <si>
    <t>cle mixte jeu 8 pcs</t>
  </si>
  <si>
    <t>cle molette 10 ntb</t>
  </si>
  <si>
    <t>Echelle aluminium 12 march</t>
  </si>
  <si>
    <t>escapeau 10 marches</t>
  </si>
  <si>
    <t>HOUE LACOSTE</t>
  </si>
  <si>
    <t>marteau 800 G BOIS (ND)</t>
  </si>
  <si>
    <t>Marteau arrache clou</t>
  </si>
  <si>
    <t>Marteau en plastique</t>
  </si>
  <si>
    <t>Metre (5m)</t>
  </si>
  <si>
    <t>Niveau</t>
  </si>
  <si>
    <t>Pelle</t>
  </si>
  <si>
    <t>PELLE CHANTIER</t>
  </si>
  <si>
    <t>Pince a denuder (NIB)</t>
  </si>
  <si>
    <t>Pince coupant (NTB) 6</t>
  </si>
  <si>
    <t>pince universelle NTB 6 * 150</t>
  </si>
  <si>
    <t>Pioche</t>
  </si>
  <si>
    <t>pioche 2 kg</t>
  </si>
  <si>
    <t>Plomb de maçon avec cordon</t>
  </si>
  <si>
    <t>Ralonge enroul 2*2,5 (40m) NTB</t>
  </si>
  <si>
    <t>rataux jardiniere</t>
  </si>
  <si>
    <t>RATEAU</t>
  </si>
  <si>
    <t>Rateaux</t>
  </si>
  <si>
    <t>Reulx tuyau à rosage de 150m</t>
  </si>
  <si>
    <t>Riveteuse</t>
  </si>
  <si>
    <t>صفحة 25</t>
  </si>
  <si>
    <t>SECATEUR PM</t>
  </si>
  <si>
    <t>Sicateur GM</t>
  </si>
  <si>
    <t>Sicateur PM</t>
  </si>
  <si>
    <t>TEN AIL NTB LUX</t>
  </si>
  <si>
    <t>Torne vis testeur</t>
  </si>
  <si>
    <t>Arrosoir</t>
  </si>
  <si>
    <t>Torche (lampe)</t>
  </si>
  <si>
    <t>Botte 43</t>
  </si>
  <si>
    <t>Clé crocodile</t>
  </si>
  <si>
    <t>Clés à molette Ø8</t>
  </si>
  <si>
    <t>Clés à molette Ø12</t>
  </si>
  <si>
    <t>Jeux TV 6P</t>
  </si>
  <si>
    <t>Jeu clé à lien</t>
  </si>
  <si>
    <t>Lunette Noir</t>
  </si>
  <si>
    <t>Tourne vice P M</t>
  </si>
  <si>
    <t>Pince port bouvette</t>
  </si>
  <si>
    <t>Pince masse 500</t>
  </si>
  <si>
    <t>Pince a serir RJ45</t>
  </si>
  <si>
    <t>ESCABO 05 MARCH</t>
  </si>
  <si>
    <t>صفحة 26</t>
  </si>
  <si>
    <t>DIVISION :H</t>
  </si>
  <si>
    <t>H</t>
  </si>
  <si>
    <t>Boite pharmacie</t>
  </si>
  <si>
    <t>Terling Thèrmomètre Frantal</t>
  </si>
  <si>
    <t>صفحة 27</t>
  </si>
  <si>
    <t>DIVISION :I</t>
  </si>
  <si>
    <t>I</t>
  </si>
  <si>
    <t>TENE DE CUISINNE</t>
  </si>
  <si>
    <t>BLOUSE BLOUNCHE</t>
  </si>
  <si>
    <t xml:space="preserve">TENE SPECIFIQUE POUR AGENT  </t>
  </si>
  <si>
    <t xml:space="preserve">                FUILLE  D'INVENTAIRE  AU 31/12/2023</t>
  </si>
  <si>
    <t>صفحة 28</t>
  </si>
  <si>
    <t>DIVISION :K</t>
  </si>
  <si>
    <t>المولد الكهربائي+ غرفة الكهرباء</t>
  </si>
  <si>
    <t>K</t>
  </si>
  <si>
    <t>Câble RJ 45</t>
  </si>
  <si>
    <t>Câble RJ 45 FTP CATG06</t>
  </si>
  <si>
    <t>Fiche RJ 45 CATG boite de 100 PS</t>
  </si>
  <si>
    <t>Prise Mosaïque 2P</t>
  </si>
  <si>
    <t>Prise Mosaïque RJ 11,01Module</t>
  </si>
  <si>
    <t xml:space="preserve">Prise Mosaïque RJ 11,02 Module </t>
  </si>
  <si>
    <t>prise réseau</t>
  </si>
  <si>
    <t>Prise RJ 45 CATG 1 Module</t>
  </si>
  <si>
    <t xml:space="preserve">Alimentation  FSR ATX 500 PNR PRO 500 W </t>
  </si>
  <si>
    <t>Angle extérieur</t>
  </si>
  <si>
    <t>Angle intérieure</t>
  </si>
  <si>
    <t>Cable USB 1,8 mectech</t>
  </si>
  <si>
    <t>Conecteur reseau cat 06</t>
  </si>
  <si>
    <t>DLPAngle Plat (coude 90)80x35x50</t>
  </si>
  <si>
    <t>Embout 35x50x80</t>
  </si>
  <si>
    <t>Support prog Mosaïque 8 Module</t>
  </si>
  <si>
    <t>king ston ssd nvme 500 GB</t>
  </si>
  <si>
    <t>Souris GDXH MOG USB 1200DP</t>
  </si>
  <si>
    <t>Clavier MACTECHMT-KB1016</t>
  </si>
  <si>
    <t xml:space="preserve">Prise RJ 45 Mosaïque CAT 06,02 Module </t>
  </si>
  <si>
    <t>Goulote en ME5R</t>
  </si>
  <si>
    <t>TRUELL MAçON</t>
  </si>
  <si>
    <t>FAURCHE DE FOUIRE</t>
  </si>
  <si>
    <t>MANCH PèLLE à BOIS</t>
  </si>
  <si>
    <t>TOURNE VIS 07 PS</t>
  </si>
  <si>
    <t>PENC UNIVERSELLE</t>
  </si>
  <si>
    <t>Clè A MOLETTE 12/300 M</t>
  </si>
  <si>
    <t>CLè A GRIFFE24</t>
  </si>
  <si>
    <t>Clè A GRIFFE08</t>
  </si>
  <si>
    <t>SCIE A BOIS</t>
  </si>
  <si>
    <t>صفحة 29</t>
  </si>
  <si>
    <t>TENAILLE</t>
  </si>
  <si>
    <t>MASSITA 02 KG</t>
  </si>
  <si>
    <t>MASSITA 01 KG</t>
  </si>
  <si>
    <t>NIVEAU</t>
  </si>
  <si>
    <t>TENAILL</t>
  </si>
  <si>
    <t>TALOCHA GM</t>
  </si>
  <si>
    <t>CRATOIR N 20</t>
  </si>
  <si>
    <t>CRATOIR N 12</t>
  </si>
  <si>
    <t>AGRAFFEUSE NOVOSB1</t>
  </si>
  <si>
    <t>Cable  HDMI -DPI DISPLAY</t>
  </si>
  <si>
    <t>TYBE CAAREE 30</t>
  </si>
  <si>
    <t>CORNIER 35*45</t>
  </si>
  <si>
    <t>POMELLES 120</t>
  </si>
  <si>
    <t>VIRROS 50</t>
  </si>
  <si>
    <t>SURRURE</t>
  </si>
  <si>
    <t>BOIT BAGUETTE 3,25</t>
  </si>
  <si>
    <t>DISQUE ACOPEE 230 INOX</t>
  </si>
  <si>
    <t>DISQUE ACOPEE 300</t>
  </si>
  <si>
    <t>PER PLAT 40*4</t>
  </si>
  <si>
    <t>PER  ROND</t>
  </si>
  <si>
    <t>cerbeille a papier jardinier</t>
  </si>
  <si>
    <t>GAMETTE GM</t>
  </si>
  <si>
    <t>صفحة 30</t>
  </si>
  <si>
    <t>DIVISION :L</t>
  </si>
  <si>
    <t>L</t>
  </si>
  <si>
    <t>Ballon Football</t>
  </si>
  <si>
    <t>Boulles de pétanques</t>
  </si>
  <si>
    <t>3</t>
  </si>
  <si>
    <t>COUPE</t>
  </si>
  <si>
    <t>4</t>
  </si>
  <si>
    <t>Drapeaux 1,5x01</t>
  </si>
  <si>
    <t>5</t>
  </si>
  <si>
    <t>Drapeaux 2x 1,5</t>
  </si>
  <si>
    <t>6</t>
  </si>
  <si>
    <t>Ensemble de Football</t>
  </si>
  <si>
    <t>7</t>
  </si>
  <si>
    <t>Jeu d'échecs</t>
  </si>
  <si>
    <t>8</t>
  </si>
  <si>
    <t>Médaille</t>
  </si>
  <si>
    <t>9</t>
  </si>
  <si>
    <t xml:space="preserve">fillet </t>
  </si>
  <si>
    <t xml:space="preserve">raclet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</si>
</sst>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2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i/>
      <sz val="12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2"/>
      <name val="Times New Roman"/>
      <family val="1"/>
    </font>
    <font>
      <sz val="14"/>
      <color theme="1"/>
      <name val="timabic"/>
    </font>
    <font>
      <sz val="12"/>
      <color theme="1"/>
      <name val="Traditional Arabic"/>
      <family val="1"/>
    </font>
    <font>
      <sz val="11"/>
      <color indexed="8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b/>
      <i/>
      <sz val="10"/>
      <color theme="1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color rgb="FFFF0000"/>
      <name val="Arial"/>
      <family val="2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readingOrder="1"/>
    </xf>
    <xf numFmtId="0" fontId="6" fillId="2" borderId="4" xfId="0" applyFont="1" applyFill="1" applyBorder="1" applyAlignment="1">
      <alignment horizontal="center" vertical="center" readingOrder="1"/>
    </xf>
    <xf numFmtId="0" fontId="6" fillId="2" borderId="4" xfId="0" applyFont="1" applyFill="1" applyBorder="1" applyAlignment="1">
      <alignment vertical="center" readingOrder="1"/>
    </xf>
    <xf numFmtId="0" fontId="7" fillId="2" borderId="4" xfId="0" applyFont="1" applyFill="1" applyBorder="1" applyAlignment="1">
      <alignment vertical="center" readingOrder="1"/>
    </xf>
    <xf numFmtId="0" fontId="6" fillId="0" borderId="4" xfId="0" applyFont="1" applyBorder="1" applyAlignment="1">
      <alignment vertical="center" readingOrder="1"/>
    </xf>
    <xf numFmtId="0" fontId="8" fillId="2" borderId="4" xfId="0" applyFont="1" applyFill="1" applyBorder="1" applyAlignment="1">
      <alignment vertical="center" readingOrder="1"/>
    </xf>
    <xf numFmtId="0" fontId="6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0" fillId="2" borderId="3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6" fillId="2" borderId="7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 textRotation="90"/>
    </xf>
    <xf numFmtId="0" fontId="6" fillId="3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textRotation="90"/>
    </xf>
    <xf numFmtId="0" fontId="6" fillId="5" borderId="5" xfId="0" applyFont="1" applyFill="1" applyBorder="1" applyAlignment="1">
      <alignment horizontal="center" vertical="center" textRotation="90"/>
    </xf>
    <xf numFmtId="0" fontId="9" fillId="2" borderId="5" xfId="0" applyFont="1" applyFill="1" applyBorder="1" applyAlignment="1">
      <alignment horizontal="center" vertical="center" textRotation="90"/>
    </xf>
    <xf numFmtId="0" fontId="7" fillId="2" borderId="5" xfId="0" applyFont="1" applyFill="1" applyBorder="1" applyAlignment="1">
      <alignment horizontal="center" vertical="center" textRotation="90"/>
    </xf>
    <xf numFmtId="0" fontId="6" fillId="2" borderId="5" xfId="0" applyFont="1" applyFill="1" applyBorder="1" applyAlignment="1">
      <alignment vertical="center" textRotation="90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vertical="center" textRotation="90" wrapText="1"/>
    </xf>
    <xf numFmtId="0" fontId="7" fillId="2" borderId="5" xfId="0" applyFont="1" applyFill="1" applyBorder="1" applyAlignment="1">
      <alignment textRotation="90"/>
    </xf>
    <xf numFmtId="0" fontId="6" fillId="0" borderId="5" xfId="0" applyFont="1" applyBorder="1" applyAlignment="1">
      <alignment vertical="center" textRotation="90"/>
    </xf>
    <xf numFmtId="0" fontId="6" fillId="2" borderId="8" xfId="0" applyFont="1" applyFill="1" applyBorder="1" applyAlignment="1">
      <alignment horizontal="center" vertical="center" textRotation="180"/>
    </xf>
    <xf numFmtId="0" fontId="6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textRotation="90"/>
    </xf>
    <xf numFmtId="0" fontId="6" fillId="3" borderId="5" xfId="0" applyFont="1" applyFill="1" applyBorder="1" applyAlignment="1">
      <alignment horizontal="center" vertical="center" textRotation="90"/>
    </xf>
    <xf numFmtId="0" fontId="6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9" fontId="11" fillId="2" borderId="7" xfId="0" applyNumberFormat="1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164" fontId="13" fillId="2" borderId="6" xfId="0" applyNumberFormat="1" applyFont="1" applyFill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13" fillId="2" borderId="10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1" fontId="11" fillId="2" borderId="7" xfId="0" applyNumberFormat="1" applyFont="1" applyFill="1" applyBorder="1" applyAlignment="1">
      <alignment horizontal="center" vertical="center"/>
    </xf>
    <xf numFmtId="1" fontId="10" fillId="2" borderId="7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164" fontId="0" fillId="2" borderId="7" xfId="0" applyNumberForma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/>
    </xf>
    <xf numFmtId="49" fontId="11" fillId="2" borderId="11" xfId="0" applyNumberFormat="1" applyFont="1" applyFill="1" applyBorder="1" applyAlignment="1">
      <alignment vertical="center"/>
    </xf>
    <xf numFmtId="49" fontId="11" fillId="2" borderId="11" xfId="0" applyNumberFormat="1" applyFont="1" applyFill="1" applyBorder="1" applyAlignment="1">
      <alignment horizontal="center" vertical="center"/>
    </xf>
    <xf numFmtId="49" fontId="11" fillId="5" borderId="11" xfId="0" applyNumberFormat="1" applyFont="1" applyFill="1" applyBorder="1" applyAlignment="1">
      <alignment vertical="center"/>
    </xf>
    <xf numFmtId="49" fontId="11" fillId="2" borderId="0" xfId="0" applyNumberFormat="1" applyFont="1" applyFill="1" applyAlignment="1">
      <alignment vertical="center"/>
    </xf>
    <xf numFmtId="49" fontId="10" fillId="2" borderId="0" xfId="0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center" vertical="center"/>
    </xf>
    <xf numFmtId="49" fontId="11" fillId="2" borderId="0" xfId="0" applyNumberFormat="1" applyFont="1" applyFill="1" applyAlignment="1">
      <alignment horizontal="center" vertical="center"/>
    </xf>
    <xf numFmtId="49" fontId="11" fillId="5" borderId="0" xfId="0" applyNumberFormat="1" applyFont="1" applyFill="1" applyAlignment="1">
      <alignment vertical="center"/>
    </xf>
    <xf numFmtId="1" fontId="11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5" borderId="0" xfId="0" applyFill="1"/>
    <xf numFmtId="0" fontId="0" fillId="2" borderId="0" xfId="0" applyFill="1" applyAlignment="1">
      <alignment horizontal="center"/>
    </xf>
    <xf numFmtId="0" fontId="13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readingOrder="1"/>
    </xf>
    <xf numFmtId="0" fontId="6" fillId="2" borderId="0" xfId="0" applyFont="1" applyFill="1"/>
    <xf numFmtId="0" fontId="7" fillId="2" borderId="0" xfId="0" applyFont="1" applyFill="1"/>
    <xf numFmtId="0" fontId="14" fillId="2" borderId="0" xfId="0" applyFont="1" applyFill="1"/>
    <xf numFmtId="0" fontId="10" fillId="2" borderId="0" xfId="0" applyFont="1" applyFill="1" applyAlignment="1">
      <alignment textRotation="90"/>
    </xf>
    <xf numFmtId="164" fontId="10" fillId="2" borderId="0" xfId="0" applyNumberFormat="1" applyFont="1" applyFill="1"/>
    <xf numFmtId="0" fontId="10" fillId="2" borderId="0" xfId="0" applyFont="1" applyFill="1" applyAlignment="1">
      <alignment textRotation="3"/>
    </xf>
    <xf numFmtId="0" fontId="10" fillId="2" borderId="0" xfId="0" applyFont="1" applyFill="1"/>
    <xf numFmtId="49" fontId="11" fillId="2" borderId="0" xfId="0" applyNumberFormat="1" applyFont="1" applyFill="1"/>
    <xf numFmtId="49" fontId="11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0" fontId="10" fillId="2" borderId="0" xfId="0" applyFont="1" applyFill="1" applyAlignment="1">
      <alignment horizontal="center"/>
    </xf>
    <xf numFmtId="49" fontId="14" fillId="2" borderId="0" xfId="0" applyNumberFormat="1" applyFont="1" applyFill="1"/>
    <xf numFmtId="49" fontId="14" fillId="2" borderId="0" xfId="0" applyNumberFormat="1" applyFont="1" applyFill="1" applyAlignment="1">
      <alignment horizontal="center"/>
    </xf>
    <xf numFmtId="0" fontId="2" fillId="5" borderId="0" xfId="0" applyFont="1" applyFill="1"/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4" fontId="15" fillId="2" borderId="10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/>
    </xf>
    <xf numFmtId="0" fontId="16" fillId="2" borderId="6" xfId="0" applyFont="1" applyFill="1" applyBorder="1" applyAlignment="1">
      <alignment vertical="center"/>
    </xf>
    <xf numFmtId="0" fontId="12" fillId="2" borderId="6" xfId="0" applyFont="1" applyFill="1" applyBorder="1" applyAlignment="1">
      <alignment vertical="center"/>
    </xf>
    <xf numFmtId="0" fontId="12" fillId="2" borderId="6" xfId="0" applyFont="1" applyFill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8" fillId="0" borderId="6" xfId="0" applyFont="1" applyBorder="1" applyAlignment="1">
      <alignment vertical="center"/>
    </xf>
    <xf numFmtId="0" fontId="11" fillId="2" borderId="9" xfId="0" applyFont="1" applyFill="1" applyBorder="1" applyAlignment="1">
      <alignment horizontal="center" vertical="center"/>
    </xf>
    <xf numFmtId="0" fontId="12" fillId="0" borderId="6" xfId="0" applyFont="1" applyBorder="1" applyAlignment="1">
      <alignment vertical="top"/>
    </xf>
    <xf numFmtId="0" fontId="12" fillId="0" borderId="6" xfId="0" applyFont="1" applyBorder="1" applyAlignment="1">
      <alignment vertical="top" wrapText="1"/>
    </xf>
    <xf numFmtId="0" fontId="12" fillId="2" borderId="6" xfId="0" applyFont="1" applyFill="1" applyBorder="1" applyAlignment="1">
      <alignment vertical="top" wrapText="1"/>
    </xf>
    <xf numFmtId="164" fontId="0" fillId="4" borderId="10" xfId="0" applyNumberFormat="1" applyFill="1" applyBorder="1" applyAlignment="1">
      <alignment horizontal="center" vertical="center"/>
    </xf>
    <xf numFmtId="164" fontId="13" fillId="4" borderId="10" xfId="0" applyNumberFormat="1" applyFon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164" fontId="13" fillId="2" borderId="7" xfId="0" applyNumberFormat="1" applyFont="1" applyFill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/>
    </xf>
    <xf numFmtId="164" fontId="13" fillId="2" borderId="9" xfId="0" applyNumberFormat="1" applyFont="1" applyFill="1" applyBorder="1" applyAlignment="1">
      <alignment horizontal="center" vertical="center"/>
    </xf>
    <xf numFmtId="49" fontId="11" fillId="4" borderId="9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vertical="center"/>
    </xf>
    <xf numFmtId="164" fontId="0" fillId="4" borderId="6" xfId="0" applyNumberForma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textRotation="90"/>
    </xf>
    <xf numFmtId="0" fontId="11" fillId="2" borderId="6" xfId="0" applyFont="1" applyFill="1" applyBorder="1" applyAlignment="1">
      <alignment horizont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6" fillId="0" borderId="6" xfId="0" applyFont="1" applyBorder="1" applyAlignment="1">
      <alignment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12" fillId="0" borderId="6" xfId="0" applyFont="1" applyBorder="1"/>
    <xf numFmtId="0" fontId="22" fillId="2" borderId="1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7" fillId="2" borderId="5" xfId="0" applyFont="1" applyFill="1" applyBorder="1" applyAlignment="1">
      <alignment horizontal="center" textRotation="90"/>
    </xf>
    <xf numFmtId="0" fontId="16" fillId="0" borderId="6" xfId="0" applyFont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/>
    </xf>
    <xf numFmtId="0" fontId="23" fillId="0" borderId="6" xfId="0" applyFont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14" fillId="0" borderId="5" xfId="0" applyFont="1" applyBorder="1" applyAlignment="1">
      <alignment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5" borderId="6" xfId="0" applyFill="1" applyBorder="1"/>
    <xf numFmtId="0" fontId="0" fillId="2" borderId="6" xfId="0" applyFill="1" applyBorder="1" applyAlignment="1">
      <alignment horizontal="center"/>
    </xf>
    <xf numFmtId="0" fontId="4" fillId="2" borderId="6" xfId="0" applyFont="1" applyFill="1" applyBorder="1"/>
    <xf numFmtId="0" fontId="13" fillId="2" borderId="6" xfId="0" applyFont="1" applyFill="1" applyBorder="1" applyAlignment="1">
      <alignment horizontal="center"/>
    </xf>
    <xf numFmtId="0" fontId="5" fillId="2" borderId="6" xfId="0" applyFont="1" applyFill="1" applyBorder="1"/>
    <xf numFmtId="0" fontId="3" fillId="0" borderId="0" xfId="0" applyFont="1"/>
    <xf numFmtId="0" fontId="0" fillId="4" borderId="0" xfId="0" applyFill="1"/>
    <xf numFmtId="49" fontId="11" fillId="4" borderId="7" xfId="0" applyNumberFormat="1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0" fontId="4" fillId="4" borderId="6" xfId="0" applyFont="1" applyFill="1" applyBorder="1"/>
    <xf numFmtId="0" fontId="13" fillId="4" borderId="6" xfId="0" applyFont="1" applyFill="1" applyBorder="1" applyAlignment="1">
      <alignment horizontal="center"/>
    </xf>
    <xf numFmtId="0" fontId="5" fillId="4" borderId="6" xfId="0" applyFont="1" applyFill="1" applyBorder="1"/>
    <xf numFmtId="0" fontId="13" fillId="2" borderId="6" xfId="0" applyFont="1" applyFill="1" applyBorder="1"/>
    <xf numFmtId="0" fontId="1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13" fillId="2" borderId="0" xfId="0" applyNumberFormat="1" applyFont="1" applyFill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horizontal="left"/>
    </xf>
    <xf numFmtId="0" fontId="26" fillId="0" borderId="6" xfId="0" applyFont="1" applyBorder="1" applyAlignment="1">
      <alignment horizontal="left"/>
    </xf>
    <xf numFmtId="0" fontId="27" fillId="0" borderId="6" xfId="0" applyFont="1" applyBorder="1" applyAlignment="1">
      <alignment horizontal="left" vertical="center"/>
    </xf>
    <xf numFmtId="0" fontId="28" fillId="0" borderId="5" xfId="0" applyFont="1" applyBorder="1" applyAlignment="1">
      <alignment wrapText="1"/>
    </xf>
    <xf numFmtId="164" fontId="29" fillId="2" borderId="1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wrapText="1"/>
    </xf>
    <xf numFmtId="0" fontId="12" fillId="0" borderId="12" xfId="0" applyFont="1" applyBorder="1" applyAlignment="1">
      <alignment horizontal="left"/>
    </xf>
    <xf numFmtId="0" fontId="0" fillId="0" borderId="6" xfId="0" applyBorder="1"/>
    <xf numFmtId="164" fontId="0" fillId="2" borderId="1" xfId="0" applyNumberForma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0" fontId="22" fillId="0" borderId="9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 wrapText="1" readingOrder="2"/>
    </xf>
    <xf numFmtId="164" fontId="30" fillId="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wrapText="1"/>
    </xf>
    <xf numFmtId="0" fontId="10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textRotation="180"/>
    </xf>
    <xf numFmtId="0" fontId="11" fillId="2" borderId="13" xfId="0" applyFont="1" applyFill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22" fillId="2" borderId="9" xfId="0" applyFont="1" applyFill="1" applyBorder="1" applyAlignment="1">
      <alignment horizontal="left" vertical="center"/>
    </xf>
    <xf numFmtId="0" fontId="22" fillId="2" borderId="1" xfId="0" applyFont="1" applyFill="1" applyBorder="1" applyAlignment="1">
      <alignment horizontal="left" vertical="center"/>
    </xf>
    <xf numFmtId="0" fontId="31" fillId="2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top"/>
    </xf>
    <xf numFmtId="0" fontId="21" fillId="0" borderId="6" xfId="0" applyFont="1" applyBorder="1"/>
    <xf numFmtId="0" fontId="21" fillId="0" borderId="6" xfId="0" applyFont="1" applyBorder="1" applyAlignment="1">
      <alignment wrapText="1"/>
    </xf>
    <xf numFmtId="0" fontId="22" fillId="2" borderId="6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center" readingOrder="2"/>
    </xf>
    <xf numFmtId="0" fontId="22" fillId="2" borderId="6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readingOrder="2"/>
    </xf>
    <xf numFmtId="0" fontId="14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 readingOrder="2"/>
    </xf>
    <xf numFmtId="0" fontId="11" fillId="0" borderId="5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22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/>
    </xf>
    <xf numFmtId="0" fontId="22" fillId="0" borderId="7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 readingOrder="2"/>
    </xf>
    <xf numFmtId="0" fontId="22" fillId="0" borderId="5" xfId="0" applyFont="1" applyBorder="1" applyAlignment="1">
      <alignment horizontal="left" vertical="center" wrapText="1" readingOrder="2"/>
    </xf>
    <xf numFmtId="0" fontId="13" fillId="0" borderId="6" xfId="0" applyFont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center"/>
    </xf>
    <xf numFmtId="0" fontId="22" fillId="0" borderId="9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449"/>
  <sheetViews>
    <sheetView tabSelected="1" workbookViewId="0">
      <selection sqref="A1:XFD1048576"/>
    </sheetView>
  </sheetViews>
  <sheetFormatPr defaultRowHeight="15.75"/>
  <cols>
    <col min="1" max="1" width="0.7109375" style="86" customWidth="1"/>
    <col min="2" max="2" width="4.5703125" style="86" customWidth="1"/>
    <col min="3" max="3" width="2.7109375" style="86" customWidth="1"/>
    <col min="4" max="4" width="5.140625" style="86" customWidth="1"/>
    <col min="5" max="5" width="56.85546875" style="86" customWidth="1"/>
    <col min="6" max="6" width="3.42578125" style="88" customWidth="1"/>
    <col min="7" max="10" width="3.42578125" style="86" customWidth="1"/>
    <col min="11" max="11" width="3.5703125" style="86" customWidth="1"/>
    <col min="12" max="13" width="3.42578125" style="86" customWidth="1"/>
    <col min="14" max="14" width="3.42578125" style="89" customWidth="1"/>
    <col min="15" max="15" width="3.5703125" style="86" customWidth="1"/>
    <col min="16" max="16" width="3.42578125" style="90" customWidth="1"/>
    <col min="17" max="20" width="4.28515625" style="86" customWidth="1"/>
    <col min="21" max="37" width="3.42578125" style="86" customWidth="1"/>
    <col min="38" max="38" width="3.42578125" style="6" customWidth="1"/>
    <col min="39" max="57" width="3.42578125" style="86" customWidth="1"/>
    <col min="58" max="59" width="4.28515625" style="86" customWidth="1"/>
    <col min="60" max="61" width="4.28515625" style="91" customWidth="1"/>
    <col min="62" max="63" width="4.28515625" style="86" customWidth="1"/>
    <col min="64" max="64" width="4.42578125" style="7" customWidth="1"/>
    <col min="65" max="65" width="2.28515625" style="86" hidden="1" customWidth="1"/>
    <col min="66" max="66" width="2.140625" style="86" hidden="1" customWidth="1"/>
    <col min="67" max="67" width="2" style="86" hidden="1" customWidth="1"/>
    <col min="68" max="68" width="0.140625" style="86" hidden="1" customWidth="1"/>
    <col min="69" max="69" width="33.5703125" style="86" customWidth="1"/>
    <col min="70" max="70" width="1.7109375" style="86" customWidth="1"/>
    <col min="71" max="71" width="16.7109375" style="86" customWidth="1"/>
    <col min="72" max="73" width="3.28515625" style="86" customWidth="1"/>
    <col min="74" max="87" width="2.7109375" style="86" customWidth="1"/>
    <col min="88" max="256" width="11.42578125" style="86" customWidth="1"/>
    <col min="257" max="257" width="0.7109375" style="86" customWidth="1"/>
    <col min="258" max="258" width="4.5703125" style="86" customWidth="1"/>
    <col min="259" max="259" width="2.7109375" style="86" customWidth="1"/>
    <col min="260" max="260" width="5.140625" style="86" customWidth="1"/>
    <col min="261" max="261" width="56.85546875" style="86" customWidth="1"/>
    <col min="262" max="266" width="3.42578125" style="86" customWidth="1"/>
    <col min="267" max="267" width="3.5703125" style="86" customWidth="1"/>
    <col min="268" max="270" width="3.42578125" style="86" customWidth="1"/>
    <col min="271" max="271" width="3.5703125" style="86" customWidth="1"/>
    <col min="272" max="272" width="3.42578125" style="86" customWidth="1"/>
    <col min="273" max="276" width="4.28515625" style="86" customWidth="1"/>
    <col min="277" max="313" width="3.42578125" style="86" customWidth="1"/>
    <col min="314" max="319" width="4.28515625" style="86" customWidth="1"/>
    <col min="320" max="320" width="4.42578125" style="86" customWidth="1"/>
    <col min="321" max="324" width="0" style="86" hidden="1" customWidth="1"/>
    <col min="325" max="325" width="33.5703125" style="86" customWidth="1"/>
    <col min="326" max="326" width="1.7109375" style="86" customWidth="1"/>
    <col min="327" max="327" width="16.7109375" style="86" customWidth="1"/>
    <col min="328" max="329" width="3.28515625" style="86" customWidth="1"/>
    <col min="330" max="343" width="2.7109375" style="86" customWidth="1"/>
    <col min="344" max="512" width="11.42578125" style="86" customWidth="1"/>
    <col min="513" max="513" width="0.7109375" style="86" customWidth="1"/>
    <col min="514" max="514" width="4.5703125" style="86" customWidth="1"/>
    <col min="515" max="515" width="2.7109375" style="86" customWidth="1"/>
    <col min="516" max="516" width="5.140625" style="86" customWidth="1"/>
    <col min="517" max="517" width="56.85546875" style="86" customWidth="1"/>
    <col min="518" max="522" width="3.42578125" style="86" customWidth="1"/>
    <col min="523" max="523" width="3.5703125" style="86" customWidth="1"/>
    <col min="524" max="526" width="3.42578125" style="86" customWidth="1"/>
    <col min="527" max="527" width="3.5703125" style="86" customWidth="1"/>
    <col min="528" max="528" width="3.42578125" style="86" customWidth="1"/>
    <col min="529" max="532" width="4.28515625" style="86" customWidth="1"/>
    <col min="533" max="569" width="3.42578125" style="86" customWidth="1"/>
    <col min="570" max="575" width="4.28515625" style="86" customWidth="1"/>
    <col min="576" max="576" width="4.42578125" style="86" customWidth="1"/>
    <col min="577" max="580" width="0" style="86" hidden="1" customWidth="1"/>
    <col min="581" max="581" width="33.5703125" style="86" customWidth="1"/>
    <col min="582" max="582" width="1.7109375" style="86" customWidth="1"/>
    <col min="583" max="583" width="16.7109375" style="86" customWidth="1"/>
    <col min="584" max="585" width="3.28515625" style="86" customWidth="1"/>
    <col min="586" max="599" width="2.7109375" style="86" customWidth="1"/>
    <col min="600" max="768" width="11.42578125" style="86" customWidth="1"/>
    <col min="769" max="769" width="0.7109375" style="86" customWidth="1"/>
    <col min="770" max="770" width="4.5703125" style="86" customWidth="1"/>
    <col min="771" max="771" width="2.7109375" style="86" customWidth="1"/>
    <col min="772" max="772" width="5.140625" style="86" customWidth="1"/>
    <col min="773" max="773" width="56.85546875" style="86" customWidth="1"/>
    <col min="774" max="778" width="3.42578125" style="86" customWidth="1"/>
    <col min="779" max="779" width="3.5703125" style="86" customWidth="1"/>
    <col min="780" max="782" width="3.42578125" style="86" customWidth="1"/>
    <col min="783" max="783" width="3.5703125" style="86" customWidth="1"/>
    <col min="784" max="784" width="3.42578125" style="86" customWidth="1"/>
    <col min="785" max="788" width="4.28515625" style="86" customWidth="1"/>
    <col min="789" max="825" width="3.42578125" style="86" customWidth="1"/>
    <col min="826" max="831" width="4.28515625" style="86" customWidth="1"/>
    <col min="832" max="832" width="4.42578125" style="86" customWidth="1"/>
    <col min="833" max="836" width="0" style="86" hidden="1" customWidth="1"/>
    <col min="837" max="837" width="33.5703125" style="86" customWidth="1"/>
    <col min="838" max="838" width="1.7109375" style="86" customWidth="1"/>
    <col min="839" max="839" width="16.7109375" style="86" customWidth="1"/>
    <col min="840" max="841" width="3.28515625" style="86" customWidth="1"/>
    <col min="842" max="855" width="2.7109375" style="86" customWidth="1"/>
    <col min="856" max="1024" width="11.42578125" style="86" customWidth="1"/>
    <col min="1025" max="1025" width="0.7109375" style="86" customWidth="1"/>
    <col min="1026" max="1026" width="4.5703125" style="86" customWidth="1"/>
    <col min="1027" max="1027" width="2.7109375" style="86" customWidth="1"/>
    <col min="1028" max="1028" width="5.140625" style="86" customWidth="1"/>
    <col min="1029" max="1029" width="56.85546875" style="86" customWidth="1"/>
    <col min="1030" max="1034" width="3.42578125" style="86" customWidth="1"/>
    <col min="1035" max="1035" width="3.5703125" style="86" customWidth="1"/>
    <col min="1036" max="1038" width="3.42578125" style="86" customWidth="1"/>
    <col min="1039" max="1039" width="3.5703125" style="86" customWidth="1"/>
    <col min="1040" max="1040" width="3.42578125" style="86" customWidth="1"/>
    <col min="1041" max="1044" width="4.28515625" style="86" customWidth="1"/>
    <col min="1045" max="1081" width="3.42578125" style="86" customWidth="1"/>
    <col min="1082" max="1087" width="4.28515625" style="86" customWidth="1"/>
    <col min="1088" max="1088" width="4.42578125" style="86" customWidth="1"/>
    <col min="1089" max="1092" width="0" style="86" hidden="1" customWidth="1"/>
    <col min="1093" max="1093" width="33.5703125" style="86" customWidth="1"/>
    <col min="1094" max="1094" width="1.7109375" style="86" customWidth="1"/>
    <col min="1095" max="1095" width="16.7109375" style="86" customWidth="1"/>
    <col min="1096" max="1097" width="3.28515625" style="86" customWidth="1"/>
    <col min="1098" max="1111" width="2.7109375" style="86" customWidth="1"/>
    <col min="1112" max="1280" width="11.42578125" style="86" customWidth="1"/>
    <col min="1281" max="1281" width="0.7109375" style="86" customWidth="1"/>
    <col min="1282" max="1282" width="4.5703125" style="86" customWidth="1"/>
    <col min="1283" max="1283" width="2.7109375" style="86" customWidth="1"/>
    <col min="1284" max="1284" width="5.140625" style="86" customWidth="1"/>
    <col min="1285" max="1285" width="56.85546875" style="86" customWidth="1"/>
    <col min="1286" max="1290" width="3.42578125" style="86" customWidth="1"/>
    <col min="1291" max="1291" width="3.5703125" style="86" customWidth="1"/>
    <col min="1292" max="1294" width="3.42578125" style="86" customWidth="1"/>
    <col min="1295" max="1295" width="3.5703125" style="86" customWidth="1"/>
    <col min="1296" max="1296" width="3.42578125" style="86" customWidth="1"/>
    <col min="1297" max="1300" width="4.28515625" style="86" customWidth="1"/>
    <col min="1301" max="1337" width="3.42578125" style="86" customWidth="1"/>
    <col min="1338" max="1343" width="4.28515625" style="86" customWidth="1"/>
    <col min="1344" max="1344" width="4.42578125" style="86" customWidth="1"/>
    <col min="1345" max="1348" width="0" style="86" hidden="1" customWidth="1"/>
    <col min="1349" max="1349" width="33.5703125" style="86" customWidth="1"/>
    <col min="1350" max="1350" width="1.7109375" style="86" customWidth="1"/>
    <col min="1351" max="1351" width="16.7109375" style="86" customWidth="1"/>
    <col min="1352" max="1353" width="3.28515625" style="86" customWidth="1"/>
    <col min="1354" max="1367" width="2.7109375" style="86" customWidth="1"/>
    <col min="1368" max="1536" width="11.42578125" style="86" customWidth="1"/>
    <col min="1537" max="1537" width="0.7109375" style="86" customWidth="1"/>
    <col min="1538" max="1538" width="4.5703125" style="86" customWidth="1"/>
    <col min="1539" max="1539" width="2.7109375" style="86" customWidth="1"/>
    <col min="1540" max="1540" width="5.140625" style="86" customWidth="1"/>
    <col min="1541" max="1541" width="56.85546875" style="86" customWidth="1"/>
    <col min="1542" max="1546" width="3.42578125" style="86" customWidth="1"/>
    <col min="1547" max="1547" width="3.5703125" style="86" customWidth="1"/>
    <col min="1548" max="1550" width="3.42578125" style="86" customWidth="1"/>
    <col min="1551" max="1551" width="3.5703125" style="86" customWidth="1"/>
    <col min="1552" max="1552" width="3.42578125" style="86" customWidth="1"/>
    <col min="1553" max="1556" width="4.28515625" style="86" customWidth="1"/>
    <col min="1557" max="1593" width="3.42578125" style="86" customWidth="1"/>
    <col min="1594" max="1599" width="4.28515625" style="86" customWidth="1"/>
    <col min="1600" max="1600" width="4.42578125" style="86" customWidth="1"/>
    <col min="1601" max="1604" width="0" style="86" hidden="1" customWidth="1"/>
    <col min="1605" max="1605" width="33.5703125" style="86" customWidth="1"/>
    <col min="1606" max="1606" width="1.7109375" style="86" customWidth="1"/>
    <col min="1607" max="1607" width="16.7109375" style="86" customWidth="1"/>
    <col min="1608" max="1609" width="3.28515625" style="86" customWidth="1"/>
    <col min="1610" max="1623" width="2.7109375" style="86" customWidth="1"/>
    <col min="1624" max="1792" width="11.42578125" style="86" customWidth="1"/>
    <col min="1793" max="1793" width="0.7109375" style="86" customWidth="1"/>
    <col min="1794" max="1794" width="4.5703125" style="86" customWidth="1"/>
    <col min="1795" max="1795" width="2.7109375" style="86" customWidth="1"/>
    <col min="1796" max="1796" width="5.140625" style="86" customWidth="1"/>
    <col min="1797" max="1797" width="56.85546875" style="86" customWidth="1"/>
    <col min="1798" max="1802" width="3.42578125" style="86" customWidth="1"/>
    <col min="1803" max="1803" width="3.5703125" style="86" customWidth="1"/>
    <col min="1804" max="1806" width="3.42578125" style="86" customWidth="1"/>
    <col min="1807" max="1807" width="3.5703125" style="86" customWidth="1"/>
    <col min="1808" max="1808" width="3.42578125" style="86" customWidth="1"/>
    <col min="1809" max="1812" width="4.28515625" style="86" customWidth="1"/>
    <col min="1813" max="1849" width="3.42578125" style="86" customWidth="1"/>
    <col min="1850" max="1855" width="4.28515625" style="86" customWidth="1"/>
    <col min="1856" max="1856" width="4.42578125" style="86" customWidth="1"/>
    <col min="1857" max="1860" width="0" style="86" hidden="1" customWidth="1"/>
    <col min="1861" max="1861" width="33.5703125" style="86" customWidth="1"/>
    <col min="1862" max="1862" width="1.7109375" style="86" customWidth="1"/>
    <col min="1863" max="1863" width="16.7109375" style="86" customWidth="1"/>
    <col min="1864" max="1865" width="3.28515625" style="86" customWidth="1"/>
    <col min="1866" max="1879" width="2.7109375" style="86" customWidth="1"/>
    <col min="1880" max="2048" width="11.42578125" style="86" customWidth="1"/>
    <col min="2049" max="2049" width="0.7109375" style="86" customWidth="1"/>
    <col min="2050" max="2050" width="4.5703125" style="86" customWidth="1"/>
    <col min="2051" max="2051" width="2.7109375" style="86" customWidth="1"/>
    <col min="2052" max="2052" width="5.140625" style="86" customWidth="1"/>
    <col min="2053" max="2053" width="56.85546875" style="86" customWidth="1"/>
    <col min="2054" max="2058" width="3.42578125" style="86" customWidth="1"/>
    <col min="2059" max="2059" width="3.5703125" style="86" customWidth="1"/>
    <col min="2060" max="2062" width="3.42578125" style="86" customWidth="1"/>
    <col min="2063" max="2063" width="3.5703125" style="86" customWidth="1"/>
    <col min="2064" max="2064" width="3.42578125" style="86" customWidth="1"/>
    <col min="2065" max="2068" width="4.28515625" style="86" customWidth="1"/>
    <col min="2069" max="2105" width="3.42578125" style="86" customWidth="1"/>
    <col min="2106" max="2111" width="4.28515625" style="86" customWidth="1"/>
    <col min="2112" max="2112" width="4.42578125" style="86" customWidth="1"/>
    <col min="2113" max="2116" width="0" style="86" hidden="1" customWidth="1"/>
    <col min="2117" max="2117" width="33.5703125" style="86" customWidth="1"/>
    <col min="2118" max="2118" width="1.7109375" style="86" customWidth="1"/>
    <col min="2119" max="2119" width="16.7109375" style="86" customWidth="1"/>
    <col min="2120" max="2121" width="3.28515625" style="86" customWidth="1"/>
    <col min="2122" max="2135" width="2.7109375" style="86" customWidth="1"/>
    <col min="2136" max="2304" width="11.42578125" style="86" customWidth="1"/>
    <col min="2305" max="2305" width="0.7109375" style="86" customWidth="1"/>
    <col min="2306" max="2306" width="4.5703125" style="86" customWidth="1"/>
    <col min="2307" max="2307" width="2.7109375" style="86" customWidth="1"/>
    <col min="2308" max="2308" width="5.140625" style="86" customWidth="1"/>
    <col min="2309" max="2309" width="56.85546875" style="86" customWidth="1"/>
    <col min="2310" max="2314" width="3.42578125" style="86" customWidth="1"/>
    <col min="2315" max="2315" width="3.5703125" style="86" customWidth="1"/>
    <col min="2316" max="2318" width="3.42578125" style="86" customWidth="1"/>
    <col min="2319" max="2319" width="3.5703125" style="86" customWidth="1"/>
    <col min="2320" max="2320" width="3.42578125" style="86" customWidth="1"/>
    <col min="2321" max="2324" width="4.28515625" style="86" customWidth="1"/>
    <col min="2325" max="2361" width="3.42578125" style="86" customWidth="1"/>
    <col min="2362" max="2367" width="4.28515625" style="86" customWidth="1"/>
    <col min="2368" max="2368" width="4.42578125" style="86" customWidth="1"/>
    <col min="2369" max="2372" width="0" style="86" hidden="1" customWidth="1"/>
    <col min="2373" max="2373" width="33.5703125" style="86" customWidth="1"/>
    <col min="2374" max="2374" width="1.7109375" style="86" customWidth="1"/>
    <col min="2375" max="2375" width="16.7109375" style="86" customWidth="1"/>
    <col min="2376" max="2377" width="3.28515625" style="86" customWidth="1"/>
    <col min="2378" max="2391" width="2.7109375" style="86" customWidth="1"/>
    <col min="2392" max="2560" width="11.42578125" style="86" customWidth="1"/>
    <col min="2561" max="2561" width="0.7109375" style="86" customWidth="1"/>
    <col min="2562" max="2562" width="4.5703125" style="86" customWidth="1"/>
    <col min="2563" max="2563" width="2.7109375" style="86" customWidth="1"/>
    <col min="2564" max="2564" width="5.140625" style="86" customWidth="1"/>
    <col min="2565" max="2565" width="56.85546875" style="86" customWidth="1"/>
    <col min="2566" max="2570" width="3.42578125" style="86" customWidth="1"/>
    <col min="2571" max="2571" width="3.5703125" style="86" customWidth="1"/>
    <col min="2572" max="2574" width="3.42578125" style="86" customWidth="1"/>
    <col min="2575" max="2575" width="3.5703125" style="86" customWidth="1"/>
    <col min="2576" max="2576" width="3.42578125" style="86" customWidth="1"/>
    <col min="2577" max="2580" width="4.28515625" style="86" customWidth="1"/>
    <col min="2581" max="2617" width="3.42578125" style="86" customWidth="1"/>
    <col min="2618" max="2623" width="4.28515625" style="86" customWidth="1"/>
    <col min="2624" max="2624" width="4.42578125" style="86" customWidth="1"/>
    <col min="2625" max="2628" width="0" style="86" hidden="1" customWidth="1"/>
    <col min="2629" max="2629" width="33.5703125" style="86" customWidth="1"/>
    <col min="2630" max="2630" width="1.7109375" style="86" customWidth="1"/>
    <col min="2631" max="2631" width="16.7109375" style="86" customWidth="1"/>
    <col min="2632" max="2633" width="3.28515625" style="86" customWidth="1"/>
    <col min="2634" max="2647" width="2.7109375" style="86" customWidth="1"/>
    <col min="2648" max="2816" width="11.42578125" style="86" customWidth="1"/>
    <col min="2817" max="2817" width="0.7109375" style="86" customWidth="1"/>
    <col min="2818" max="2818" width="4.5703125" style="86" customWidth="1"/>
    <col min="2819" max="2819" width="2.7109375" style="86" customWidth="1"/>
    <col min="2820" max="2820" width="5.140625" style="86" customWidth="1"/>
    <col min="2821" max="2821" width="56.85546875" style="86" customWidth="1"/>
    <col min="2822" max="2826" width="3.42578125" style="86" customWidth="1"/>
    <col min="2827" max="2827" width="3.5703125" style="86" customWidth="1"/>
    <col min="2828" max="2830" width="3.42578125" style="86" customWidth="1"/>
    <col min="2831" max="2831" width="3.5703125" style="86" customWidth="1"/>
    <col min="2832" max="2832" width="3.42578125" style="86" customWidth="1"/>
    <col min="2833" max="2836" width="4.28515625" style="86" customWidth="1"/>
    <col min="2837" max="2873" width="3.42578125" style="86" customWidth="1"/>
    <col min="2874" max="2879" width="4.28515625" style="86" customWidth="1"/>
    <col min="2880" max="2880" width="4.42578125" style="86" customWidth="1"/>
    <col min="2881" max="2884" width="0" style="86" hidden="1" customWidth="1"/>
    <col min="2885" max="2885" width="33.5703125" style="86" customWidth="1"/>
    <col min="2886" max="2886" width="1.7109375" style="86" customWidth="1"/>
    <col min="2887" max="2887" width="16.7109375" style="86" customWidth="1"/>
    <col min="2888" max="2889" width="3.28515625" style="86" customWidth="1"/>
    <col min="2890" max="2903" width="2.7109375" style="86" customWidth="1"/>
    <col min="2904" max="3072" width="11.42578125" style="86" customWidth="1"/>
    <col min="3073" max="3073" width="0.7109375" style="86" customWidth="1"/>
    <col min="3074" max="3074" width="4.5703125" style="86" customWidth="1"/>
    <col min="3075" max="3075" width="2.7109375" style="86" customWidth="1"/>
    <col min="3076" max="3076" width="5.140625" style="86" customWidth="1"/>
    <col min="3077" max="3077" width="56.85546875" style="86" customWidth="1"/>
    <col min="3078" max="3082" width="3.42578125" style="86" customWidth="1"/>
    <col min="3083" max="3083" width="3.5703125" style="86" customWidth="1"/>
    <col min="3084" max="3086" width="3.42578125" style="86" customWidth="1"/>
    <col min="3087" max="3087" width="3.5703125" style="86" customWidth="1"/>
    <col min="3088" max="3088" width="3.42578125" style="86" customWidth="1"/>
    <col min="3089" max="3092" width="4.28515625" style="86" customWidth="1"/>
    <col min="3093" max="3129" width="3.42578125" style="86" customWidth="1"/>
    <col min="3130" max="3135" width="4.28515625" style="86" customWidth="1"/>
    <col min="3136" max="3136" width="4.42578125" style="86" customWidth="1"/>
    <col min="3137" max="3140" width="0" style="86" hidden="1" customWidth="1"/>
    <col min="3141" max="3141" width="33.5703125" style="86" customWidth="1"/>
    <col min="3142" max="3142" width="1.7109375" style="86" customWidth="1"/>
    <col min="3143" max="3143" width="16.7109375" style="86" customWidth="1"/>
    <col min="3144" max="3145" width="3.28515625" style="86" customWidth="1"/>
    <col min="3146" max="3159" width="2.7109375" style="86" customWidth="1"/>
    <col min="3160" max="3328" width="11.42578125" style="86" customWidth="1"/>
    <col min="3329" max="3329" width="0.7109375" style="86" customWidth="1"/>
    <col min="3330" max="3330" width="4.5703125" style="86" customWidth="1"/>
    <col min="3331" max="3331" width="2.7109375" style="86" customWidth="1"/>
    <col min="3332" max="3332" width="5.140625" style="86" customWidth="1"/>
    <col min="3333" max="3333" width="56.85546875" style="86" customWidth="1"/>
    <col min="3334" max="3338" width="3.42578125" style="86" customWidth="1"/>
    <col min="3339" max="3339" width="3.5703125" style="86" customWidth="1"/>
    <col min="3340" max="3342" width="3.42578125" style="86" customWidth="1"/>
    <col min="3343" max="3343" width="3.5703125" style="86" customWidth="1"/>
    <col min="3344" max="3344" width="3.42578125" style="86" customWidth="1"/>
    <col min="3345" max="3348" width="4.28515625" style="86" customWidth="1"/>
    <col min="3349" max="3385" width="3.42578125" style="86" customWidth="1"/>
    <col min="3386" max="3391" width="4.28515625" style="86" customWidth="1"/>
    <col min="3392" max="3392" width="4.42578125" style="86" customWidth="1"/>
    <col min="3393" max="3396" width="0" style="86" hidden="1" customWidth="1"/>
    <col min="3397" max="3397" width="33.5703125" style="86" customWidth="1"/>
    <col min="3398" max="3398" width="1.7109375" style="86" customWidth="1"/>
    <col min="3399" max="3399" width="16.7109375" style="86" customWidth="1"/>
    <col min="3400" max="3401" width="3.28515625" style="86" customWidth="1"/>
    <col min="3402" max="3415" width="2.7109375" style="86" customWidth="1"/>
    <col min="3416" max="3584" width="11.42578125" style="86" customWidth="1"/>
    <col min="3585" max="3585" width="0.7109375" style="86" customWidth="1"/>
    <col min="3586" max="3586" width="4.5703125" style="86" customWidth="1"/>
    <col min="3587" max="3587" width="2.7109375" style="86" customWidth="1"/>
    <col min="3588" max="3588" width="5.140625" style="86" customWidth="1"/>
    <col min="3589" max="3589" width="56.85546875" style="86" customWidth="1"/>
    <col min="3590" max="3594" width="3.42578125" style="86" customWidth="1"/>
    <col min="3595" max="3595" width="3.5703125" style="86" customWidth="1"/>
    <col min="3596" max="3598" width="3.42578125" style="86" customWidth="1"/>
    <col min="3599" max="3599" width="3.5703125" style="86" customWidth="1"/>
    <col min="3600" max="3600" width="3.42578125" style="86" customWidth="1"/>
    <col min="3601" max="3604" width="4.28515625" style="86" customWidth="1"/>
    <col min="3605" max="3641" width="3.42578125" style="86" customWidth="1"/>
    <col min="3642" max="3647" width="4.28515625" style="86" customWidth="1"/>
    <col min="3648" max="3648" width="4.42578125" style="86" customWidth="1"/>
    <col min="3649" max="3652" width="0" style="86" hidden="1" customWidth="1"/>
    <col min="3653" max="3653" width="33.5703125" style="86" customWidth="1"/>
    <col min="3654" max="3654" width="1.7109375" style="86" customWidth="1"/>
    <col min="3655" max="3655" width="16.7109375" style="86" customWidth="1"/>
    <col min="3656" max="3657" width="3.28515625" style="86" customWidth="1"/>
    <col min="3658" max="3671" width="2.7109375" style="86" customWidth="1"/>
    <col min="3672" max="3840" width="11.42578125" style="86" customWidth="1"/>
    <col min="3841" max="3841" width="0.7109375" style="86" customWidth="1"/>
    <col min="3842" max="3842" width="4.5703125" style="86" customWidth="1"/>
    <col min="3843" max="3843" width="2.7109375" style="86" customWidth="1"/>
    <col min="3844" max="3844" width="5.140625" style="86" customWidth="1"/>
    <col min="3845" max="3845" width="56.85546875" style="86" customWidth="1"/>
    <col min="3846" max="3850" width="3.42578125" style="86" customWidth="1"/>
    <col min="3851" max="3851" width="3.5703125" style="86" customWidth="1"/>
    <col min="3852" max="3854" width="3.42578125" style="86" customWidth="1"/>
    <col min="3855" max="3855" width="3.5703125" style="86" customWidth="1"/>
    <col min="3856" max="3856" width="3.42578125" style="86" customWidth="1"/>
    <col min="3857" max="3860" width="4.28515625" style="86" customWidth="1"/>
    <col min="3861" max="3897" width="3.42578125" style="86" customWidth="1"/>
    <col min="3898" max="3903" width="4.28515625" style="86" customWidth="1"/>
    <col min="3904" max="3904" width="4.42578125" style="86" customWidth="1"/>
    <col min="3905" max="3908" width="0" style="86" hidden="1" customWidth="1"/>
    <col min="3909" max="3909" width="33.5703125" style="86" customWidth="1"/>
    <col min="3910" max="3910" width="1.7109375" style="86" customWidth="1"/>
    <col min="3911" max="3911" width="16.7109375" style="86" customWidth="1"/>
    <col min="3912" max="3913" width="3.28515625" style="86" customWidth="1"/>
    <col min="3914" max="3927" width="2.7109375" style="86" customWidth="1"/>
    <col min="3928" max="4096" width="11.42578125" style="86" customWidth="1"/>
    <col min="4097" max="4097" width="0.7109375" style="86" customWidth="1"/>
    <col min="4098" max="4098" width="4.5703125" style="86" customWidth="1"/>
    <col min="4099" max="4099" width="2.7109375" style="86" customWidth="1"/>
    <col min="4100" max="4100" width="5.140625" style="86" customWidth="1"/>
    <col min="4101" max="4101" width="56.85546875" style="86" customWidth="1"/>
    <col min="4102" max="4106" width="3.42578125" style="86" customWidth="1"/>
    <col min="4107" max="4107" width="3.5703125" style="86" customWidth="1"/>
    <col min="4108" max="4110" width="3.42578125" style="86" customWidth="1"/>
    <col min="4111" max="4111" width="3.5703125" style="86" customWidth="1"/>
    <col min="4112" max="4112" width="3.42578125" style="86" customWidth="1"/>
    <col min="4113" max="4116" width="4.28515625" style="86" customWidth="1"/>
    <col min="4117" max="4153" width="3.42578125" style="86" customWidth="1"/>
    <col min="4154" max="4159" width="4.28515625" style="86" customWidth="1"/>
    <col min="4160" max="4160" width="4.42578125" style="86" customWidth="1"/>
    <col min="4161" max="4164" width="0" style="86" hidden="1" customWidth="1"/>
    <col min="4165" max="4165" width="33.5703125" style="86" customWidth="1"/>
    <col min="4166" max="4166" width="1.7109375" style="86" customWidth="1"/>
    <col min="4167" max="4167" width="16.7109375" style="86" customWidth="1"/>
    <col min="4168" max="4169" width="3.28515625" style="86" customWidth="1"/>
    <col min="4170" max="4183" width="2.7109375" style="86" customWidth="1"/>
    <col min="4184" max="4352" width="11.42578125" style="86" customWidth="1"/>
    <col min="4353" max="4353" width="0.7109375" style="86" customWidth="1"/>
    <col min="4354" max="4354" width="4.5703125" style="86" customWidth="1"/>
    <col min="4355" max="4355" width="2.7109375" style="86" customWidth="1"/>
    <col min="4356" max="4356" width="5.140625" style="86" customWidth="1"/>
    <col min="4357" max="4357" width="56.85546875" style="86" customWidth="1"/>
    <col min="4358" max="4362" width="3.42578125" style="86" customWidth="1"/>
    <col min="4363" max="4363" width="3.5703125" style="86" customWidth="1"/>
    <col min="4364" max="4366" width="3.42578125" style="86" customWidth="1"/>
    <col min="4367" max="4367" width="3.5703125" style="86" customWidth="1"/>
    <col min="4368" max="4368" width="3.42578125" style="86" customWidth="1"/>
    <col min="4369" max="4372" width="4.28515625" style="86" customWidth="1"/>
    <col min="4373" max="4409" width="3.42578125" style="86" customWidth="1"/>
    <col min="4410" max="4415" width="4.28515625" style="86" customWidth="1"/>
    <col min="4416" max="4416" width="4.42578125" style="86" customWidth="1"/>
    <col min="4417" max="4420" width="0" style="86" hidden="1" customWidth="1"/>
    <col min="4421" max="4421" width="33.5703125" style="86" customWidth="1"/>
    <col min="4422" max="4422" width="1.7109375" style="86" customWidth="1"/>
    <col min="4423" max="4423" width="16.7109375" style="86" customWidth="1"/>
    <col min="4424" max="4425" width="3.28515625" style="86" customWidth="1"/>
    <col min="4426" max="4439" width="2.7109375" style="86" customWidth="1"/>
    <col min="4440" max="4608" width="11.42578125" style="86" customWidth="1"/>
    <col min="4609" max="4609" width="0.7109375" style="86" customWidth="1"/>
    <col min="4610" max="4610" width="4.5703125" style="86" customWidth="1"/>
    <col min="4611" max="4611" width="2.7109375" style="86" customWidth="1"/>
    <col min="4612" max="4612" width="5.140625" style="86" customWidth="1"/>
    <col min="4613" max="4613" width="56.85546875" style="86" customWidth="1"/>
    <col min="4614" max="4618" width="3.42578125" style="86" customWidth="1"/>
    <col min="4619" max="4619" width="3.5703125" style="86" customWidth="1"/>
    <col min="4620" max="4622" width="3.42578125" style="86" customWidth="1"/>
    <col min="4623" max="4623" width="3.5703125" style="86" customWidth="1"/>
    <col min="4624" max="4624" width="3.42578125" style="86" customWidth="1"/>
    <col min="4625" max="4628" width="4.28515625" style="86" customWidth="1"/>
    <col min="4629" max="4665" width="3.42578125" style="86" customWidth="1"/>
    <col min="4666" max="4671" width="4.28515625" style="86" customWidth="1"/>
    <col min="4672" max="4672" width="4.42578125" style="86" customWidth="1"/>
    <col min="4673" max="4676" width="0" style="86" hidden="1" customWidth="1"/>
    <col min="4677" max="4677" width="33.5703125" style="86" customWidth="1"/>
    <col min="4678" max="4678" width="1.7109375" style="86" customWidth="1"/>
    <col min="4679" max="4679" width="16.7109375" style="86" customWidth="1"/>
    <col min="4680" max="4681" width="3.28515625" style="86" customWidth="1"/>
    <col min="4682" max="4695" width="2.7109375" style="86" customWidth="1"/>
    <col min="4696" max="4864" width="11.42578125" style="86" customWidth="1"/>
    <col min="4865" max="4865" width="0.7109375" style="86" customWidth="1"/>
    <col min="4866" max="4866" width="4.5703125" style="86" customWidth="1"/>
    <col min="4867" max="4867" width="2.7109375" style="86" customWidth="1"/>
    <col min="4868" max="4868" width="5.140625" style="86" customWidth="1"/>
    <col min="4869" max="4869" width="56.85546875" style="86" customWidth="1"/>
    <col min="4870" max="4874" width="3.42578125" style="86" customWidth="1"/>
    <col min="4875" max="4875" width="3.5703125" style="86" customWidth="1"/>
    <col min="4876" max="4878" width="3.42578125" style="86" customWidth="1"/>
    <col min="4879" max="4879" width="3.5703125" style="86" customWidth="1"/>
    <col min="4880" max="4880" width="3.42578125" style="86" customWidth="1"/>
    <col min="4881" max="4884" width="4.28515625" style="86" customWidth="1"/>
    <col min="4885" max="4921" width="3.42578125" style="86" customWidth="1"/>
    <col min="4922" max="4927" width="4.28515625" style="86" customWidth="1"/>
    <col min="4928" max="4928" width="4.42578125" style="86" customWidth="1"/>
    <col min="4929" max="4932" width="0" style="86" hidden="1" customWidth="1"/>
    <col min="4933" max="4933" width="33.5703125" style="86" customWidth="1"/>
    <col min="4934" max="4934" width="1.7109375" style="86" customWidth="1"/>
    <col min="4935" max="4935" width="16.7109375" style="86" customWidth="1"/>
    <col min="4936" max="4937" width="3.28515625" style="86" customWidth="1"/>
    <col min="4938" max="4951" width="2.7109375" style="86" customWidth="1"/>
    <col min="4952" max="5120" width="11.42578125" style="86" customWidth="1"/>
    <col min="5121" max="5121" width="0.7109375" style="86" customWidth="1"/>
    <col min="5122" max="5122" width="4.5703125" style="86" customWidth="1"/>
    <col min="5123" max="5123" width="2.7109375" style="86" customWidth="1"/>
    <col min="5124" max="5124" width="5.140625" style="86" customWidth="1"/>
    <col min="5125" max="5125" width="56.85546875" style="86" customWidth="1"/>
    <col min="5126" max="5130" width="3.42578125" style="86" customWidth="1"/>
    <col min="5131" max="5131" width="3.5703125" style="86" customWidth="1"/>
    <col min="5132" max="5134" width="3.42578125" style="86" customWidth="1"/>
    <col min="5135" max="5135" width="3.5703125" style="86" customWidth="1"/>
    <col min="5136" max="5136" width="3.42578125" style="86" customWidth="1"/>
    <col min="5137" max="5140" width="4.28515625" style="86" customWidth="1"/>
    <col min="5141" max="5177" width="3.42578125" style="86" customWidth="1"/>
    <col min="5178" max="5183" width="4.28515625" style="86" customWidth="1"/>
    <col min="5184" max="5184" width="4.42578125" style="86" customWidth="1"/>
    <col min="5185" max="5188" width="0" style="86" hidden="1" customWidth="1"/>
    <col min="5189" max="5189" width="33.5703125" style="86" customWidth="1"/>
    <col min="5190" max="5190" width="1.7109375" style="86" customWidth="1"/>
    <col min="5191" max="5191" width="16.7109375" style="86" customWidth="1"/>
    <col min="5192" max="5193" width="3.28515625" style="86" customWidth="1"/>
    <col min="5194" max="5207" width="2.7109375" style="86" customWidth="1"/>
    <col min="5208" max="5376" width="11.42578125" style="86" customWidth="1"/>
    <col min="5377" max="5377" width="0.7109375" style="86" customWidth="1"/>
    <col min="5378" max="5378" width="4.5703125" style="86" customWidth="1"/>
    <col min="5379" max="5379" width="2.7109375" style="86" customWidth="1"/>
    <col min="5380" max="5380" width="5.140625" style="86" customWidth="1"/>
    <col min="5381" max="5381" width="56.85546875" style="86" customWidth="1"/>
    <col min="5382" max="5386" width="3.42578125" style="86" customWidth="1"/>
    <col min="5387" max="5387" width="3.5703125" style="86" customWidth="1"/>
    <col min="5388" max="5390" width="3.42578125" style="86" customWidth="1"/>
    <col min="5391" max="5391" width="3.5703125" style="86" customWidth="1"/>
    <col min="5392" max="5392" width="3.42578125" style="86" customWidth="1"/>
    <col min="5393" max="5396" width="4.28515625" style="86" customWidth="1"/>
    <col min="5397" max="5433" width="3.42578125" style="86" customWidth="1"/>
    <col min="5434" max="5439" width="4.28515625" style="86" customWidth="1"/>
    <col min="5440" max="5440" width="4.42578125" style="86" customWidth="1"/>
    <col min="5441" max="5444" width="0" style="86" hidden="1" customWidth="1"/>
    <col min="5445" max="5445" width="33.5703125" style="86" customWidth="1"/>
    <col min="5446" max="5446" width="1.7109375" style="86" customWidth="1"/>
    <col min="5447" max="5447" width="16.7109375" style="86" customWidth="1"/>
    <col min="5448" max="5449" width="3.28515625" style="86" customWidth="1"/>
    <col min="5450" max="5463" width="2.7109375" style="86" customWidth="1"/>
    <col min="5464" max="5632" width="11.42578125" style="86" customWidth="1"/>
    <col min="5633" max="5633" width="0.7109375" style="86" customWidth="1"/>
    <col min="5634" max="5634" width="4.5703125" style="86" customWidth="1"/>
    <col min="5635" max="5635" width="2.7109375" style="86" customWidth="1"/>
    <col min="5636" max="5636" width="5.140625" style="86" customWidth="1"/>
    <col min="5637" max="5637" width="56.85546875" style="86" customWidth="1"/>
    <col min="5638" max="5642" width="3.42578125" style="86" customWidth="1"/>
    <col min="5643" max="5643" width="3.5703125" style="86" customWidth="1"/>
    <col min="5644" max="5646" width="3.42578125" style="86" customWidth="1"/>
    <col min="5647" max="5647" width="3.5703125" style="86" customWidth="1"/>
    <col min="5648" max="5648" width="3.42578125" style="86" customWidth="1"/>
    <col min="5649" max="5652" width="4.28515625" style="86" customWidth="1"/>
    <col min="5653" max="5689" width="3.42578125" style="86" customWidth="1"/>
    <col min="5690" max="5695" width="4.28515625" style="86" customWidth="1"/>
    <col min="5696" max="5696" width="4.42578125" style="86" customWidth="1"/>
    <col min="5697" max="5700" width="0" style="86" hidden="1" customWidth="1"/>
    <col min="5701" max="5701" width="33.5703125" style="86" customWidth="1"/>
    <col min="5702" max="5702" width="1.7109375" style="86" customWidth="1"/>
    <col min="5703" max="5703" width="16.7109375" style="86" customWidth="1"/>
    <col min="5704" max="5705" width="3.28515625" style="86" customWidth="1"/>
    <col min="5706" max="5719" width="2.7109375" style="86" customWidth="1"/>
    <col min="5720" max="5888" width="11.42578125" style="86" customWidth="1"/>
    <col min="5889" max="5889" width="0.7109375" style="86" customWidth="1"/>
    <col min="5890" max="5890" width="4.5703125" style="86" customWidth="1"/>
    <col min="5891" max="5891" width="2.7109375" style="86" customWidth="1"/>
    <col min="5892" max="5892" width="5.140625" style="86" customWidth="1"/>
    <col min="5893" max="5893" width="56.85546875" style="86" customWidth="1"/>
    <col min="5894" max="5898" width="3.42578125" style="86" customWidth="1"/>
    <col min="5899" max="5899" width="3.5703125" style="86" customWidth="1"/>
    <col min="5900" max="5902" width="3.42578125" style="86" customWidth="1"/>
    <col min="5903" max="5903" width="3.5703125" style="86" customWidth="1"/>
    <col min="5904" max="5904" width="3.42578125" style="86" customWidth="1"/>
    <col min="5905" max="5908" width="4.28515625" style="86" customWidth="1"/>
    <col min="5909" max="5945" width="3.42578125" style="86" customWidth="1"/>
    <col min="5946" max="5951" width="4.28515625" style="86" customWidth="1"/>
    <col min="5952" max="5952" width="4.42578125" style="86" customWidth="1"/>
    <col min="5953" max="5956" width="0" style="86" hidden="1" customWidth="1"/>
    <col min="5957" max="5957" width="33.5703125" style="86" customWidth="1"/>
    <col min="5958" max="5958" width="1.7109375" style="86" customWidth="1"/>
    <col min="5959" max="5959" width="16.7109375" style="86" customWidth="1"/>
    <col min="5960" max="5961" width="3.28515625" style="86" customWidth="1"/>
    <col min="5962" max="5975" width="2.7109375" style="86" customWidth="1"/>
    <col min="5976" max="6144" width="11.42578125" style="86" customWidth="1"/>
    <col min="6145" max="6145" width="0.7109375" style="86" customWidth="1"/>
    <col min="6146" max="6146" width="4.5703125" style="86" customWidth="1"/>
    <col min="6147" max="6147" width="2.7109375" style="86" customWidth="1"/>
    <col min="6148" max="6148" width="5.140625" style="86" customWidth="1"/>
    <col min="6149" max="6149" width="56.85546875" style="86" customWidth="1"/>
    <col min="6150" max="6154" width="3.42578125" style="86" customWidth="1"/>
    <col min="6155" max="6155" width="3.5703125" style="86" customWidth="1"/>
    <col min="6156" max="6158" width="3.42578125" style="86" customWidth="1"/>
    <col min="6159" max="6159" width="3.5703125" style="86" customWidth="1"/>
    <col min="6160" max="6160" width="3.42578125" style="86" customWidth="1"/>
    <col min="6161" max="6164" width="4.28515625" style="86" customWidth="1"/>
    <col min="6165" max="6201" width="3.42578125" style="86" customWidth="1"/>
    <col min="6202" max="6207" width="4.28515625" style="86" customWidth="1"/>
    <col min="6208" max="6208" width="4.42578125" style="86" customWidth="1"/>
    <col min="6209" max="6212" width="0" style="86" hidden="1" customWidth="1"/>
    <col min="6213" max="6213" width="33.5703125" style="86" customWidth="1"/>
    <col min="6214" max="6214" width="1.7109375" style="86" customWidth="1"/>
    <col min="6215" max="6215" width="16.7109375" style="86" customWidth="1"/>
    <col min="6216" max="6217" width="3.28515625" style="86" customWidth="1"/>
    <col min="6218" max="6231" width="2.7109375" style="86" customWidth="1"/>
    <col min="6232" max="6400" width="11.42578125" style="86" customWidth="1"/>
    <col min="6401" max="6401" width="0.7109375" style="86" customWidth="1"/>
    <col min="6402" max="6402" width="4.5703125" style="86" customWidth="1"/>
    <col min="6403" max="6403" width="2.7109375" style="86" customWidth="1"/>
    <col min="6404" max="6404" width="5.140625" style="86" customWidth="1"/>
    <col min="6405" max="6405" width="56.85546875" style="86" customWidth="1"/>
    <col min="6406" max="6410" width="3.42578125" style="86" customWidth="1"/>
    <col min="6411" max="6411" width="3.5703125" style="86" customWidth="1"/>
    <col min="6412" max="6414" width="3.42578125" style="86" customWidth="1"/>
    <col min="6415" max="6415" width="3.5703125" style="86" customWidth="1"/>
    <col min="6416" max="6416" width="3.42578125" style="86" customWidth="1"/>
    <col min="6417" max="6420" width="4.28515625" style="86" customWidth="1"/>
    <col min="6421" max="6457" width="3.42578125" style="86" customWidth="1"/>
    <col min="6458" max="6463" width="4.28515625" style="86" customWidth="1"/>
    <col min="6464" max="6464" width="4.42578125" style="86" customWidth="1"/>
    <col min="6465" max="6468" width="0" style="86" hidden="1" customWidth="1"/>
    <col min="6469" max="6469" width="33.5703125" style="86" customWidth="1"/>
    <col min="6470" max="6470" width="1.7109375" style="86" customWidth="1"/>
    <col min="6471" max="6471" width="16.7109375" style="86" customWidth="1"/>
    <col min="6472" max="6473" width="3.28515625" style="86" customWidth="1"/>
    <col min="6474" max="6487" width="2.7109375" style="86" customWidth="1"/>
    <col min="6488" max="6656" width="11.42578125" style="86" customWidth="1"/>
    <col min="6657" max="6657" width="0.7109375" style="86" customWidth="1"/>
    <col min="6658" max="6658" width="4.5703125" style="86" customWidth="1"/>
    <col min="6659" max="6659" width="2.7109375" style="86" customWidth="1"/>
    <col min="6660" max="6660" width="5.140625" style="86" customWidth="1"/>
    <col min="6661" max="6661" width="56.85546875" style="86" customWidth="1"/>
    <col min="6662" max="6666" width="3.42578125" style="86" customWidth="1"/>
    <col min="6667" max="6667" width="3.5703125" style="86" customWidth="1"/>
    <col min="6668" max="6670" width="3.42578125" style="86" customWidth="1"/>
    <col min="6671" max="6671" width="3.5703125" style="86" customWidth="1"/>
    <col min="6672" max="6672" width="3.42578125" style="86" customWidth="1"/>
    <col min="6673" max="6676" width="4.28515625" style="86" customWidth="1"/>
    <col min="6677" max="6713" width="3.42578125" style="86" customWidth="1"/>
    <col min="6714" max="6719" width="4.28515625" style="86" customWidth="1"/>
    <col min="6720" max="6720" width="4.42578125" style="86" customWidth="1"/>
    <col min="6721" max="6724" width="0" style="86" hidden="1" customWidth="1"/>
    <col min="6725" max="6725" width="33.5703125" style="86" customWidth="1"/>
    <col min="6726" max="6726" width="1.7109375" style="86" customWidth="1"/>
    <col min="6727" max="6727" width="16.7109375" style="86" customWidth="1"/>
    <col min="6728" max="6729" width="3.28515625" style="86" customWidth="1"/>
    <col min="6730" max="6743" width="2.7109375" style="86" customWidth="1"/>
    <col min="6744" max="6912" width="11.42578125" style="86" customWidth="1"/>
    <col min="6913" max="6913" width="0.7109375" style="86" customWidth="1"/>
    <col min="6914" max="6914" width="4.5703125" style="86" customWidth="1"/>
    <col min="6915" max="6915" width="2.7109375" style="86" customWidth="1"/>
    <col min="6916" max="6916" width="5.140625" style="86" customWidth="1"/>
    <col min="6917" max="6917" width="56.85546875" style="86" customWidth="1"/>
    <col min="6918" max="6922" width="3.42578125" style="86" customWidth="1"/>
    <col min="6923" max="6923" width="3.5703125" style="86" customWidth="1"/>
    <col min="6924" max="6926" width="3.42578125" style="86" customWidth="1"/>
    <col min="6927" max="6927" width="3.5703125" style="86" customWidth="1"/>
    <col min="6928" max="6928" width="3.42578125" style="86" customWidth="1"/>
    <col min="6929" max="6932" width="4.28515625" style="86" customWidth="1"/>
    <col min="6933" max="6969" width="3.42578125" style="86" customWidth="1"/>
    <col min="6970" max="6975" width="4.28515625" style="86" customWidth="1"/>
    <col min="6976" max="6976" width="4.42578125" style="86" customWidth="1"/>
    <col min="6977" max="6980" width="0" style="86" hidden="1" customWidth="1"/>
    <col min="6981" max="6981" width="33.5703125" style="86" customWidth="1"/>
    <col min="6982" max="6982" width="1.7109375" style="86" customWidth="1"/>
    <col min="6983" max="6983" width="16.7109375" style="86" customWidth="1"/>
    <col min="6984" max="6985" width="3.28515625" style="86" customWidth="1"/>
    <col min="6986" max="6999" width="2.7109375" style="86" customWidth="1"/>
    <col min="7000" max="7168" width="11.42578125" style="86" customWidth="1"/>
    <col min="7169" max="7169" width="0.7109375" style="86" customWidth="1"/>
    <col min="7170" max="7170" width="4.5703125" style="86" customWidth="1"/>
    <col min="7171" max="7171" width="2.7109375" style="86" customWidth="1"/>
    <col min="7172" max="7172" width="5.140625" style="86" customWidth="1"/>
    <col min="7173" max="7173" width="56.85546875" style="86" customWidth="1"/>
    <col min="7174" max="7178" width="3.42578125" style="86" customWidth="1"/>
    <col min="7179" max="7179" width="3.5703125" style="86" customWidth="1"/>
    <col min="7180" max="7182" width="3.42578125" style="86" customWidth="1"/>
    <col min="7183" max="7183" width="3.5703125" style="86" customWidth="1"/>
    <col min="7184" max="7184" width="3.42578125" style="86" customWidth="1"/>
    <col min="7185" max="7188" width="4.28515625" style="86" customWidth="1"/>
    <col min="7189" max="7225" width="3.42578125" style="86" customWidth="1"/>
    <col min="7226" max="7231" width="4.28515625" style="86" customWidth="1"/>
    <col min="7232" max="7232" width="4.42578125" style="86" customWidth="1"/>
    <col min="7233" max="7236" width="0" style="86" hidden="1" customWidth="1"/>
    <col min="7237" max="7237" width="33.5703125" style="86" customWidth="1"/>
    <col min="7238" max="7238" width="1.7109375" style="86" customWidth="1"/>
    <col min="7239" max="7239" width="16.7109375" style="86" customWidth="1"/>
    <col min="7240" max="7241" width="3.28515625" style="86" customWidth="1"/>
    <col min="7242" max="7255" width="2.7109375" style="86" customWidth="1"/>
    <col min="7256" max="7424" width="11.42578125" style="86" customWidth="1"/>
    <col min="7425" max="7425" width="0.7109375" style="86" customWidth="1"/>
    <col min="7426" max="7426" width="4.5703125" style="86" customWidth="1"/>
    <col min="7427" max="7427" width="2.7109375" style="86" customWidth="1"/>
    <col min="7428" max="7428" width="5.140625" style="86" customWidth="1"/>
    <col min="7429" max="7429" width="56.85546875" style="86" customWidth="1"/>
    <col min="7430" max="7434" width="3.42578125" style="86" customWidth="1"/>
    <col min="7435" max="7435" width="3.5703125" style="86" customWidth="1"/>
    <col min="7436" max="7438" width="3.42578125" style="86" customWidth="1"/>
    <col min="7439" max="7439" width="3.5703125" style="86" customWidth="1"/>
    <col min="7440" max="7440" width="3.42578125" style="86" customWidth="1"/>
    <col min="7441" max="7444" width="4.28515625" style="86" customWidth="1"/>
    <col min="7445" max="7481" width="3.42578125" style="86" customWidth="1"/>
    <col min="7482" max="7487" width="4.28515625" style="86" customWidth="1"/>
    <col min="7488" max="7488" width="4.42578125" style="86" customWidth="1"/>
    <col min="7489" max="7492" width="0" style="86" hidden="1" customWidth="1"/>
    <col min="7493" max="7493" width="33.5703125" style="86" customWidth="1"/>
    <col min="7494" max="7494" width="1.7109375" style="86" customWidth="1"/>
    <col min="7495" max="7495" width="16.7109375" style="86" customWidth="1"/>
    <col min="7496" max="7497" width="3.28515625" style="86" customWidth="1"/>
    <col min="7498" max="7511" width="2.7109375" style="86" customWidth="1"/>
    <col min="7512" max="7680" width="11.42578125" style="86" customWidth="1"/>
    <col min="7681" max="7681" width="0.7109375" style="86" customWidth="1"/>
    <col min="7682" max="7682" width="4.5703125" style="86" customWidth="1"/>
    <col min="7683" max="7683" width="2.7109375" style="86" customWidth="1"/>
    <col min="7684" max="7684" width="5.140625" style="86" customWidth="1"/>
    <col min="7685" max="7685" width="56.85546875" style="86" customWidth="1"/>
    <col min="7686" max="7690" width="3.42578125" style="86" customWidth="1"/>
    <col min="7691" max="7691" width="3.5703125" style="86" customWidth="1"/>
    <col min="7692" max="7694" width="3.42578125" style="86" customWidth="1"/>
    <col min="7695" max="7695" width="3.5703125" style="86" customWidth="1"/>
    <col min="7696" max="7696" width="3.42578125" style="86" customWidth="1"/>
    <col min="7697" max="7700" width="4.28515625" style="86" customWidth="1"/>
    <col min="7701" max="7737" width="3.42578125" style="86" customWidth="1"/>
    <col min="7738" max="7743" width="4.28515625" style="86" customWidth="1"/>
    <col min="7744" max="7744" width="4.42578125" style="86" customWidth="1"/>
    <col min="7745" max="7748" width="0" style="86" hidden="1" customWidth="1"/>
    <col min="7749" max="7749" width="33.5703125" style="86" customWidth="1"/>
    <col min="7750" max="7750" width="1.7109375" style="86" customWidth="1"/>
    <col min="7751" max="7751" width="16.7109375" style="86" customWidth="1"/>
    <col min="7752" max="7753" width="3.28515625" style="86" customWidth="1"/>
    <col min="7754" max="7767" width="2.7109375" style="86" customWidth="1"/>
    <col min="7768" max="7936" width="11.42578125" style="86" customWidth="1"/>
    <col min="7937" max="7937" width="0.7109375" style="86" customWidth="1"/>
    <col min="7938" max="7938" width="4.5703125" style="86" customWidth="1"/>
    <col min="7939" max="7939" width="2.7109375" style="86" customWidth="1"/>
    <col min="7940" max="7940" width="5.140625" style="86" customWidth="1"/>
    <col min="7941" max="7941" width="56.85546875" style="86" customWidth="1"/>
    <col min="7942" max="7946" width="3.42578125" style="86" customWidth="1"/>
    <col min="7947" max="7947" width="3.5703125" style="86" customWidth="1"/>
    <col min="7948" max="7950" width="3.42578125" style="86" customWidth="1"/>
    <col min="7951" max="7951" width="3.5703125" style="86" customWidth="1"/>
    <col min="7952" max="7952" width="3.42578125" style="86" customWidth="1"/>
    <col min="7953" max="7956" width="4.28515625" style="86" customWidth="1"/>
    <col min="7957" max="7993" width="3.42578125" style="86" customWidth="1"/>
    <col min="7994" max="7999" width="4.28515625" style="86" customWidth="1"/>
    <col min="8000" max="8000" width="4.42578125" style="86" customWidth="1"/>
    <col min="8001" max="8004" width="0" style="86" hidden="1" customWidth="1"/>
    <col min="8005" max="8005" width="33.5703125" style="86" customWidth="1"/>
    <col min="8006" max="8006" width="1.7109375" style="86" customWidth="1"/>
    <col min="8007" max="8007" width="16.7109375" style="86" customWidth="1"/>
    <col min="8008" max="8009" width="3.28515625" style="86" customWidth="1"/>
    <col min="8010" max="8023" width="2.7109375" style="86" customWidth="1"/>
    <col min="8024" max="8192" width="11.42578125" style="86" customWidth="1"/>
    <col min="8193" max="8193" width="0.7109375" style="86" customWidth="1"/>
    <col min="8194" max="8194" width="4.5703125" style="86" customWidth="1"/>
    <col min="8195" max="8195" width="2.7109375" style="86" customWidth="1"/>
    <col min="8196" max="8196" width="5.140625" style="86" customWidth="1"/>
    <col min="8197" max="8197" width="56.85546875" style="86" customWidth="1"/>
    <col min="8198" max="8202" width="3.42578125" style="86" customWidth="1"/>
    <col min="8203" max="8203" width="3.5703125" style="86" customWidth="1"/>
    <col min="8204" max="8206" width="3.42578125" style="86" customWidth="1"/>
    <col min="8207" max="8207" width="3.5703125" style="86" customWidth="1"/>
    <col min="8208" max="8208" width="3.42578125" style="86" customWidth="1"/>
    <col min="8209" max="8212" width="4.28515625" style="86" customWidth="1"/>
    <col min="8213" max="8249" width="3.42578125" style="86" customWidth="1"/>
    <col min="8250" max="8255" width="4.28515625" style="86" customWidth="1"/>
    <col min="8256" max="8256" width="4.42578125" style="86" customWidth="1"/>
    <col min="8257" max="8260" width="0" style="86" hidden="1" customWidth="1"/>
    <col min="8261" max="8261" width="33.5703125" style="86" customWidth="1"/>
    <col min="8262" max="8262" width="1.7109375" style="86" customWidth="1"/>
    <col min="8263" max="8263" width="16.7109375" style="86" customWidth="1"/>
    <col min="8264" max="8265" width="3.28515625" style="86" customWidth="1"/>
    <col min="8266" max="8279" width="2.7109375" style="86" customWidth="1"/>
    <col min="8280" max="8448" width="11.42578125" style="86" customWidth="1"/>
    <col min="8449" max="8449" width="0.7109375" style="86" customWidth="1"/>
    <col min="8450" max="8450" width="4.5703125" style="86" customWidth="1"/>
    <col min="8451" max="8451" width="2.7109375" style="86" customWidth="1"/>
    <col min="8452" max="8452" width="5.140625" style="86" customWidth="1"/>
    <col min="8453" max="8453" width="56.85546875" style="86" customWidth="1"/>
    <col min="8454" max="8458" width="3.42578125" style="86" customWidth="1"/>
    <col min="8459" max="8459" width="3.5703125" style="86" customWidth="1"/>
    <col min="8460" max="8462" width="3.42578125" style="86" customWidth="1"/>
    <col min="8463" max="8463" width="3.5703125" style="86" customWidth="1"/>
    <col min="8464" max="8464" width="3.42578125" style="86" customWidth="1"/>
    <col min="8465" max="8468" width="4.28515625" style="86" customWidth="1"/>
    <col min="8469" max="8505" width="3.42578125" style="86" customWidth="1"/>
    <col min="8506" max="8511" width="4.28515625" style="86" customWidth="1"/>
    <col min="8512" max="8512" width="4.42578125" style="86" customWidth="1"/>
    <col min="8513" max="8516" width="0" style="86" hidden="1" customWidth="1"/>
    <col min="8517" max="8517" width="33.5703125" style="86" customWidth="1"/>
    <col min="8518" max="8518" width="1.7109375" style="86" customWidth="1"/>
    <col min="8519" max="8519" width="16.7109375" style="86" customWidth="1"/>
    <col min="8520" max="8521" width="3.28515625" style="86" customWidth="1"/>
    <col min="8522" max="8535" width="2.7109375" style="86" customWidth="1"/>
    <col min="8536" max="8704" width="11.42578125" style="86" customWidth="1"/>
    <col min="8705" max="8705" width="0.7109375" style="86" customWidth="1"/>
    <col min="8706" max="8706" width="4.5703125" style="86" customWidth="1"/>
    <col min="8707" max="8707" width="2.7109375" style="86" customWidth="1"/>
    <col min="8708" max="8708" width="5.140625" style="86" customWidth="1"/>
    <col min="8709" max="8709" width="56.85546875" style="86" customWidth="1"/>
    <col min="8710" max="8714" width="3.42578125" style="86" customWidth="1"/>
    <col min="8715" max="8715" width="3.5703125" style="86" customWidth="1"/>
    <col min="8716" max="8718" width="3.42578125" style="86" customWidth="1"/>
    <col min="8719" max="8719" width="3.5703125" style="86" customWidth="1"/>
    <col min="8720" max="8720" width="3.42578125" style="86" customWidth="1"/>
    <col min="8721" max="8724" width="4.28515625" style="86" customWidth="1"/>
    <col min="8725" max="8761" width="3.42578125" style="86" customWidth="1"/>
    <col min="8762" max="8767" width="4.28515625" style="86" customWidth="1"/>
    <col min="8768" max="8768" width="4.42578125" style="86" customWidth="1"/>
    <col min="8769" max="8772" width="0" style="86" hidden="1" customWidth="1"/>
    <col min="8773" max="8773" width="33.5703125" style="86" customWidth="1"/>
    <col min="8774" max="8774" width="1.7109375" style="86" customWidth="1"/>
    <col min="8775" max="8775" width="16.7109375" style="86" customWidth="1"/>
    <col min="8776" max="8777" width="3.28515625" style="86" customWidth="1"/>
    <col min="8778" max="8791" width="2.7109375" style="86" customWidth="1"/>
    <col min="8792" max="8960" width="11.42578125" style="86" customWidth="1"/>
    <col min="8961" max="8961" width="0.7109375" style="86" customWidth="1"/>
    <col min="8962" max="8962" width="4.5703125" style="86" customWidth="1"/>
    <col min="8963" max="8963" width="2.7109375" style="86" customWidth="1"/>
    <col min="8964" max="8964" width="5.140625" style="86" customWidth="1"/>
    <col min="8965" max="8965" width="56.85546875" style="86" customWidth="1"/>
    <col min="8966" max="8970" width="3.42578125" style="86" customWidth="1"/>
    <col min="8971" max="8971" width="3.5703125" style="86" customWidth="1"/>
    <col min="8972" max="8974" width="3.42578125" style="86" customWidth="1"/>
    <col min="8975" max="8975" width="3.5703125" style="86" customWidth="1"/>
    <col min="8976" max="8976" width="3.42578125" style="86" customWidth="1"/>
    <col min="8977" max="8980" width="4.28515625" style="86" customWidth="1"/>
    <col min="8981" max="9017" width="3.42578125" style="86" customWidth="1"/>
    <col min="9018" max="9023" width="4.28515625" style="86" customWidth="1"/>
    <col min="9024" max="9024" width="4.42578125" style="86" customWidth="1"/>
    <col min="9025" max="9028" width="0" style="86" hidden="1" customWidth="1"/>
    <col min="9029" max="9029" width="33.5703125" style="86" customWidth="1"/>
    <col min="9030" max="9030" width="1.7109375" style="86" customWidth="1"/>
    <col min="9031" max="9031" width="16.7109375" style="86" customWidth="1"/>
    <col min="9032" max="9033" width="3.28515625" style="86" customWidth="1"/>
    <col min="9034" max="9047" width="2.7109375" style="86" customWidth="1"/>
    <col min="9048" max="9216" width="11.42578125" style="86" customWidth="1"/>
    <col min="9217" max="9217" width="0.7109375" style="86" customWidth="1"/>
    <col min="9218" max="9218" width="4.5703125" style="86" customWidth="1"/>
    <col min="9219" max="9219" width="2.7109375" style="86" customWidth="1"/>
    <col min="9220" max="9220" width="5.140625" style="86" customWidth="1"/>
    <col min="9221" max="9221" width="56.85546875" style="86" customWidth="1"/>
    <col min="9222" max="9226" width="3.42578125" style="86" customWidth="1"/>
    <col min="9227" max="9227" width="3.5703125" style="86" customWidth="1"/>
    <col min="9228" max="9230" width="3.42578125" style="86" customWidth="1"/>
    <col min="9231" max="9231" width="3.5703125" style="86" customWidth="1"/>
    <col min="9232" max="9232" width="3.42578125" style="86" customWidth="1"/>
    <col min="9233" max="9236" width="4.28515625" style="86" customWidth="1"/>
    <col min="9237" max="9273" width="3.42578125" style="86" customWidth="1"/>
    <col min="9274" max="9279" width="4.28515625" style="86" customWidth="1"/>
    <col min="9280" max="9280" width="4.42578125" style="86" customWidth="1"/>
    <col min="9281" max="9284" width="0" style="86" hidden="1" customWidth="1"/>
    <col min="9285" max="9285" width="33.5703125" style="86" customWidth="1"/>
    <col min="9286" max="9286" width="1.7109375" style="86" customWidth="1"/>
    <col min="9287" max="9287" width="16.7109375" style="86" customWidth="1"/>
    <col min="9288" max="9289" width="3.28515625" style="86" customWidth="1"/>
    <col min="9290" max="9303" width="2.7109375" style="86" customWidth="1"/>
    <col min="9304" max="9472" width="11.42578125" style="86" customWidth="1"/>
    <col min="9473" max="9473" width="0.7109375" style="86" customWidth="1"/>
    <col min="9474" max="9474" width="4.5703125" style="86" customWidth="1"/>
    <col min="9475" max="9475" width="2.7109375" style="86" customWidth="1"/>
    <col min="9476" max="9476" width="5.140625" style="86" customWidth="1"/>
    <col min="9477" max="9477" width="56.85546875" style="86" customWidth="1"/>
    <col min="9478" max="9482" width="3.42578125" style="86" customWidth="1"/>
    <col min="9483" max="9483" width="3.5703125" style="86" customWidth="1"/>
    <col min="9484" max="9486" width="3.42578125" style="86" customWidth="1"/>
    <col min="9487" max="9487" width="3.5703125" style="86" customWidth="1"/>
    <col min="9488" max="9488" width="3.42578125" style="86" customWidth="1"/>
    <col min="9489" max="9492" width="4.28515625" style="86" customWidth="1"/>
    <col min="9493" max="9529" width="3.42578125" style="86" customWidth="1"/>
    <col min="9530" max="9535" width="4.28515625" style="86" customWidth="1"/>
    <col min="9536" max="9536" width="4.42578125" style="86" customWidth="1"/>
    <col min="9537" max="9540" width="0" style="86" hidden="1" customWidth="1"/>
    <col min="9541" max="9541" width="33.5703125" style="86" customWidth="1"/>
    <col min="9542" max="9542" width="1.7109375" style="86" customWidth="1"/>
    <col min="9543" max="9543" width="16.7109375" style="86" customWidth="1"/>
    <col min="9544" max="9545" width="3.28515625" style="86" customWidth="1"/>
    <col min="9546" max="9559" width="2.7109375" style="86" customWidth="1"/>
    <col min="9560" max="9728" width="11.42578125" style="86" customWidth="1"/>
    <col min="9729" max="9729" width="0.7109375" style="86" customWidth="1"/>
    <col min="9730" max="9730" width="4.5703125" style="86" customWidth="1"/>
    <col min="9731" max="9731" width="2.7109375" style="86" customWidth="1"/>
    <col min="9732" max="9732" width="5.140625" style="86" customWidth="1"/>
    <col min="9733" max="9733" width="56.85546875" style="86" customWidth="1"/>
    <col min="9734" max="9738" width="3.42578125" style="86" customWidth="1"/>
    <col min="9739" max="9739" width="3.5703125" style="86" customWidth="1"/>
    <col min="9740" max="9742" width="3.42578125" style="86" customWidth="1"/>
    <col min="9743" max="9743" width="3.5703125" style="86" customWidth="1"/>
    <col min="9744" max="9744" width="3.42578125" style="86" customWidth="1"/>
    <col min="9745" max="9748" width="4.28515625" style="86" customWidth="1"/>
    <col min="9749" max="9785" width="3.42578125" style="86" customWidth="1"/>
    <col min="9786" max="9791" width="4.28515625" style="86" customWidth="1"/>
    <col min="9792" max="9792" width="4.42578125" style="86" customWidth="1"/>
    <col min="9793" max="9796" width="0" style="86" hidden="1" customWidth="1"/>
    <col min="9797" max="9797" width="33.5703125" style="86" customWidth="1"/>
    <col min="9798" max="9798" width="1.7109375" style="86" customWidth="1"/>
    <col min="9799" max="9799" width="16.7109375" style="86" customWidth="1"/>
    <col min="9800" max="9801" width="3.28515625" style="86" customWidth="1"/>
    <col min="9802" max="9815" width="2.7109375" style="86" customWidth="1"/>
    <col min="9816" max="9984" width="11.42578125" style="86" customWidth="1"/>
    <col min="9985" max="9985" width="0.7109375" style="86" customWidth="1"/>
    <col min="9986" max="9986" width="4.5703125" style="86" customWidth="1"/>
    <col min="9987" max="9987" width="2.7109375" style="86" customWidth="1"/>
    <col min="9988" max="9988" width="5.140625" style="86" customWidth="1"/>
    <col min="9989" max="9989" width="56.85546875" style="86" customWidth="1"/>
    <col min="9990" max="9994" width="3.42578125" style="86" customWidth="1"/>
    <col min="9995" max="9995" width="3.5703125" style="86" customWidth="1"/>
    <col min="9996" max="9998" width="3.42578125" style="86" customWidth="1"/>
    <col min="9999" max="9999" width="3.5703125" style="86" customWidth="1"/>
    <col min="10000" max="10000" width="3.42578125" style="86" customWidth="1"/>
    <col min="10001" max="10004" width="4.28515625" style="86" customWidth="1"/>
    <col min="10005" max="10041" width="3.42578125" style="86" customWidth="1"/>
    <col min="10042" max="10047" width="4.28515625" style="86" customWidth="1"/>
    <col min="10048" max="10048" width="4.42578125" style="86" customWidth="1"/>
    <col min="10049" max="10052" width="0" style="86" hidden="1" customWidth="1"/>
    <col min="10053" max="10053" width="33.5703125" style="86" customWidth="1"/>
    <col min="10054" max="10054" width="1.7109375" style="86" customWidth="1"/>
    <col min="10055" max="10055" width="16.7109375" style="86" customWidth="1"/>
    <col min="10056" max="10057" width="3.28515625" style="86" customWidth="1"/>
    <col min="10058" max="10071" width="2.7109375" style="86" customWidth="1"/>
    <col min="10072" max="10240" width="11.42578125" style="86" customWidth="1"/>
    <col min="10241" max="10241" width="0.7109375" style="86" customWidth="1"/>
    <col min="10242" max="10242" width="4.5703125" style="86" customWidth="1"/>
    <col min="10243" max="10243" width="2.7109375" style="86" customWidth="1"/>
    <col min="10244" max="10244" width="5.140625" style="86" customWidth="1"/>
    <col min="10245" max="10245" width="56.85546875" style="86" customWidth="1"/>
    <col min="10246" max="10250" width="3.42578125" style="86" customWidth="1"/>
    <col min="10251" max="10251" width="3.5703125" style="86" customWidth="1"/>
    <col min="10252" max="10254" width="3.42578125" style="86" customWidth="1"/>
    <col min="10255" max="10255" width="3.5703125" style="86" customWidth="1"/>
    <col min="10256" max="10256" width="3.42578125" style="86" customWidth="1"/>
    <col min="10257" max="10260" width="4.28515625" style="86" customWidth="1"/>
    <col min="10261" max="10297" width="3.42578125" style="86" customWidth="1"/>
    <col min="10298" max="10303" width="4.28515625" style="86" customWidth="1"/>
    <col min="10304" max="10304" width="4.42578125" style="86" customWidth="1"/>
    <col min="10305" max="10308" width="0" style="86" hidden="1" customWidth="1"/>
    <col min="10309" max="10309" width="33.5703125" style="86" customWidth="1"/>
    <col min="10310" max="10310" width="1.7109375" style="86" customWidth="1"/>
    <col min="10311" max="10311" width="16.7109375" style="86" customWidth="1"/>
    <col min="10312" max="10313" width="3.28515625" style="86" customWidth="1"/>
    <col min="10314" max="10327" width="2.7109375" style="86" customWidth="1"/>
    <col min="10328" max="10496" width="11.42578125" style="86" customWidth="1"/>
    <col min="10497" max="10497" width="0.7109375" style="86" customWidth="1"/>
    <col min="10498" max="10498" width="4.5703125" style="86" customWidth="1"/>
    <col min="10499" max="10499" width="2.7109375" style="86" customWidth="1"/>
    <col min="10500" max="10500" width="5.140625" style="86" customWidth="1"/>
    <col min="10501" max="10501" width="56.85546875" style="86" customWidth="1"/>
    <col min="10502" max="10506" width="3.42578125" style="86" customWidth="1"/>
    <col min="10507" max="10507" width="3.5703125" style="86" customWidth="1"/>
    <col min="10508" max="10510" width="3.42578125" style="86" customWidth="1"/>
    <col min="10511" max="10511" width="3.5703125" style="86" customWidth="1"/>
    <col min="10512" max="10512" width="3.42578125" style="86" customWidth="1"/>
    <col min="10513" max="10516" width="4.28515625" style="86" customWidth="1"/>
    <col min="10517" max="10553" width="3.42578125" style="86" customWidth="1"/>
    <col min="10554" max="10559" width="4.28515625" style="86" customWidth="1"/>
    <col min="10560" max="10560" width="4.42578125" style="86" customWidth="1"/>
    <col min="10561" max="10564" width="0" style="86" hidden="1" customWidth="1"/>
    <col min="10565" max="10565" width="33.5703125" style="86" customWidth="1"/>
    <col min="10566" max="10566" width="1.7109375" style="86" customWidth="1"/>
    <col min="10567" max="10567" width="16.7109375" style="86" customWidth="1"/>
    <col min="10568" max="10569" width="3.28515625" style="86" customWidth="1"/>
    <col min="10570" max="10583" width="2.7109375" style="86" customWidth="1"/>
    <col min="10584" max="10752" width="11.42578125" style="86" customWidth="1"/>
    <col min="10753" max="10753" width="0.7109375" style="86" customWidth="1"/>
    <col min="10754" max="10754" width="4.5703125" style="86" customWidth="1"/>
    <col min="10755" max="10755" width="2.7109375" style="86" customWidth="1"/>
    <col min="10756" max="10756" width="5.140625" style="86" customWidth="1"/>
    <col min="10757" max="10757" width="56.85546875" style="86" customWidth="1"/>
    <col min="10758" max="10762" width="3.42578125" style="86" customWidth="1"/>
    <col min="10763" max="10763" width="3.5703125" style="86" customWidth="1"/>
    <col min="10764" max="10766" width="3.42578125" style="86" customWidth="1"/>
    <col min="10767" max="10767" width="3.5703125" style="86" customWidth="1"/>
    <col min="10768" max="10768" width="3.42578125" style="86" customWidth="1"/>
    <col min="10769" max="10772" width="4.28515625" style="86" customWidth="1"/>
    <col min="10773" max="10809" width="3.42578125" style="86" customWidth="1"/>
    <col min="10810" max="10815" width="4.28515625" style="86" customWidth="1"/>
    <col min="10816" max="10816" width="4.42578125" style="86" customWidth="1"/>
    <col min="10817" max="10820" width="0" style="86" hidden="1" customWidth="1"/>
    <col min="10821" max="10821" width="33.5703125" style="86" customWidth="1"/>
    <col min="10822" max="10822" width="1.7109375" style="86" customWidth="1"/>
    <col min="10823" max="10823" width="16.7109375" style="86" customWidth="1"/>
    <col min="10824" max="10825" width="3.28515625" style="86" customWidth="1"/>
    <col min="10826" max="10839" width="2.7109375" style="86" customWidth="1"/>
    <col min="10840" max="11008" width="11.42578125" style="86" customWidth="1"/>
    <col min="11009" max="11009" width="0.7109375" style="86" customWidth="1"/>
    <col min="11010" max="11010" width="4.5703125" style="86" customWidth="1"/>
    <col min="11011" max="11011" width="2.7109375" style="86" customWidth="1"/>
    <col min="11012" max="11012" width="5.140625" style="86" customWidth="1"/>
    <col min="11013" max="11013" width="56.85546875" style="86" customWidth="1"/>
    <col min="11014" max="11018" width="3.42578125" style="86" customWidth="1"/>
    <col min="11019" max="11019" width="3.5703125" style="86" customWidth="1"/>
    <col min="11020" max="11022" width="3.42578125" style="86" customWidth="1"/>
    <col min="11023" max="11023" width="3.5703125" style="86" customWidth="1"/>
    <col min="11024" max="11024" width="3.42578125" style="86" customWidth="1"/>
    <col min="11025" max="11028" width="4.28515625" style="86" customWidth="1"/>
    <col min="11029" max="11065" width="3.42578125" style="86" customWidth="1"/>
    <col min="11066" max="11071" width="4.28515625" style="86" customWidth="1"/>
    <col min="11072" max="11072" width="4.42578125" style="86" customWidth="1"/>
    <col min="11073" max="11076" width="0" style="86" hidden="1" customWidth="1"/>
    <col min="11077" max="11077" width="33.5703125" style="86" customWidth="1"/>
    <col min="11078" max="11078" width="1.7109375" style="86" customWidth="1"/>
    <col min="11079" max="11079" width="16.7109375" style="86" customWidth="1"/>
    <col min="11080" max="11081" width="3.28515625" style="86" customWidth="1"/>
    <col min="11082" max="11095" width="2.7109375" style="86" customWidth="1"/>
    <col min="11096" max="11264" width="11.42578125" style="86" customWidth="1"/>
    <col min="11265" max="11265" width="0.7109375" style="86" customWidth="1"/>
    <col min="11266" max="11266" width="4.5703125" style="86" customWidth="1"/>
    <col min="11267" max="11267" width="2.7109375" style="86" customWidth="1"/>
    <col min="11268" max="11268" width="5.140625" style="86" customWidth="1"/>
    <col min="11269" max="11269" width="56.85546875" style="86" customWidth="1"/>
    <col min="11270" max="11274" width="3.42578125" style="86" customWidth="1"/>
    <col min="11275" max="11275" width="3.5703125" style="86" customWidth="1"/>
    <col min="11276" max="11278" width="3.42578125" style="86" customWidth="1"/>
    <col min="11279" max="11279" width="3.5703125" style="86" customWidth="1"/>
    <col min="11280" max="11280" width="3.42578125" style="86" customWidth="1"/>
    <col min="11281" max="11284" width="4.28515625" style="86" customWidth="1"/>
    <col min="11285" max="11321" width="3.42578125" style="86" customWidth="1"/>
    <col min="11322" max="11327" width="4.28515625" style="86" customWidth="1"/>
    <col min="11328" max="11328" width="4.42578125" style="86" customWidth="1"/>
    <col min="11329" max="11332" width="0" style="86" hidden="1" customWidth="1"/>
    <col min="11333" max="11333" width="33.5703125" style="86" customWidth="1"/>
    <col min="11334" max="11334" width="1.7109375" style="86" customWidth="1"/>
    <col min="11335" max="11335" width="16.7109375" style="86" customWidth="1"/>
    <col min="11336" max="11337" width="3.28515625" style="86" customWidth="1"/>
    <col min="11338" max="11351" width="2.7109375" style="86" customWidth="1"/>
    <col min="11352" max="11520" width="11.42578125" style="86" customWidth="1"/>
    <col min="11521" max="11521" width="0.7109375" style="86" customWidth="1"/>
    <col min="11522" max="11522" width="4.5703125" style="86" customWidth="1"/>
    <col min="11523" max="11523" width="2.7109375" style="86" customWidth="1"/>
    <col min="11524" max="11524" width="5.140625" style="86" customWidth="1"/>
    <col min="11525" max="11525" width="56.85546875" style="86" customWidth="1"/>
    <col min="11526" max="11530" width="3.42578125" style="86" customWidth="1"/>
    <col min="11531" max="11531" width="3.5703125" style="86" customWidth="1"/>
    <col min="11532" max="11534" width="3.42578125" style="86" customWidth="1"/>
    <col min="11535" max="11535" width="3.5703125" style="86" customWidth="1"/>
    <col min="11536" max="11536" width="3.42578125" style="86" customWidth="1"/>
    <col min="11537" max="11540" width="4.28515625" style="86" customWidth="1"/>
    <col min="11541" max="11577" width="3.42578125" style="86" customWidth="1"/>
    <col min="11578" max="11583" width="4.28515625" style="86" customWidth="1"/>
    <col min="11584" max="11584" width="4.42578125" style="86" customWidth="1"/>
    <col min="11585" max="11588" width="0" style="86" hidden="1" customWidth="1"/>
    <col min="11589" max="11589" width="33.5703125" style="86" customWidth="1"/>
    <col min="11590" max="11590" width="1.7109375" style="86" customWidth="1"/>
    <col min="11591" max="11591" width="16.7109375" style="86" customWidth="1"/>
    <col min="11592" max="11593" width="3.28515625" style="86" customWidth="1"/>
    <col min="11594" max="11607" width="2.7109375" style="86" customWidth="1"/>
    <col min="11608" max="11776" width="11.42578125" style="86" customWidth="1"/>
    <col min="11777" max="11777" width="0.7109375" style="86" customWidth="1"/>
    <col min="11778" max="11778" width="4.5703125" style="86" customWidth="1"/>
    <col min="11779" max="11779" width="2.7109375" style="86" customWidth="1"/>
    <col min="11780" max="11780" width="5.140625" style="86" customWidth="1"/>
    <col min="11781" max="11781" width="56.85546875" style="86" customWidth="1"/>
    <col min="11782" max="11786" width="3.42578125" style="86" customWidth="1"/>
    <col min="11787" max="11787" width="3.5703125" style="86" customWidth="1"/>
    <col min="11788" max="11790" width="3.42578125" style="86" customWidth="1"/>
    <col min="11791" max="11791" width="3.5703125" style="86" customWidth="1"/>
    <col min="11792" max="11792" width="3.42578125" style="86" customWidth="1"/>
    <col min="11793" max="11796" width="4.28515625" style="86" customWidth="1"/>
    <col min="11797" max="11833" width="3.42578125" style="86" customWidth="1"/>
    <col min="11834" max="11839" width="4.28515625" style="86" customWidth="1"/>
    <col min="11840" max="11840" width="4.42578125" style="86" customWidth="1"/>
    <col min="11841" max="11844" width="0" style="86" hidden="1" customWidth="1"/>
    <col min="11845" max="11845" width="33.5703125" style="86" customWidth="1"/>
    <col min="11846" max="11846" width="1.7109375" style="86" customWidth="1"/>
    <col min="11847" max="11847" width="16.7109375" style="86" customWidth="1"/>
    <col min="11848" max="11849" width="3.28515625" style="86" customWidth="1"/>
    <col min="11850" max="11863" width="2.7109375" style="86" customWidth="1"/>
    <col min="11864" max="12032" width="11.42578125" style="86" customWidth="1"/>
    <col min="12033" max="12033" width="0.7109375" style="86" customWidth="1"/>
    <col min="12034" max="12034" width="4.5703125" style="86" customWidth="1"/>
    <col min="12035" max="12035" width="2.7109375" style="86" customWidth="1"/>
    <col min="12036" max="12036" width="5.140625" style="86" customWidth="1"/>
    <col min="12037" max="12037" width="56.85546875" style="86" customWidth="1"/>
    <col min="12038" max="12042" width="3.42578125" style="86" customWidth="1"/>
    <col min="12043" max="12043" width="3.5703125" style="86" customWidth="1"/>
    <col min="12044" max="12046" width="3.42578125" style="86" customWidth="1"/>
    <col min="12047" max="12047" width="3.5703125" style="86" customWidth="1"/>
    <col min="12048" max="12048" width="3.42578125" style="86" customWidth="1"/>
    <col min="12049" max="12052" width="4.28515625" style="86" customWidth="1"/>
    <col min="12053" max="12089" width="3.42578125" style="86" customWidth="1"/>
    <col min="12090" max="12095" width="4.28515625" style="86" customWidth="1"/>
    <col min="12096" max="12096" width="4.42578125" style="86" customWidth="1"/>
    <col min="12097" max="12100" width="0" style="86" hidden="1" customWidth="1"/>
    <col min="12101" max="12101" width="33.5703125" style="86" customWidth="1"/>
    <col min="12102" max="12102" width="1.7109375" style="86" customWidth="1"/>
    <col min="12103" max="12103" width="16.7109375" style="86" customWidth="1"/>
    <col min="12104" max="12105" width="3.28515625" style="86" customWidth="1"/>
    <col min="12106" max="12119" width="2.7109375" style="86" customWidth="1"/>
    <col min="12120" max="12288" width="11.42578125" style="86" customWidth="1"/>
    <col min="12289" max="12289" width="0.7109375" style="86" customWidth="1"/>
    <col min="12290" max="12290" width="4.5703125" style="86" customWidth="1"/>
    <col min="12291" max="12291" width="2.7109375" style="86" customWidth="1"/>
    <col min="12292" max="12292" width="5.140625" style="86" customWidth="1"/>
    <col min="12293" max="12293" width="56.85546875" style="86" customWidth="1"/>
    <col min="12294" max="12298" width="3.42578125" style="86" customWidth="1"/>
    <col min="12299" max="12299" width="3.5703125" style="86" customWidth="1"/>
    <col min="12300" max="12302" width="3.42578125" style="86" customWidth="1"/>
    <col min="12303" max="12303" width="3.5703125" style="86" customWidth="1"/>
    <col min="12304" max="12304" width="3.42578125" style="86" customWidth="1"/>
    <col min="12305" max="12308" width="4.28515625" style="86" customWidth="1"/>
    <col min="12309" max="12345" width="3.42578125" style="86" customWidth="1"/>
    <col min="12346" max="12351" width="4.28515625" style="86" customWidth="1"/>
    <col min="12352" max="12352" width="4.42578125" style="86" customWidth="1"/>
    <col min="12353" max="12356" width="0" style="86" hidden="1" customWidth="1"/>
    <col min="12357" max="12357" width="33.5703125" style="86" customWidth="1"/>
    <col min="12358" max="12358" width="1.7109375" style="86" customWidth="1"/>
    <col min="12359" max="12359" width="16.7109375" style="86" customWidth="1"/>
    <col min="12360" max="12361" width="3.28515625" style="86" customWidth="1"/>
    <col min="12362" max="12375" width="2.7109375" style="86" customWidth="1"/>
    <col min="12376" max="12544" width="11.42578125" style="86" customWidth="1"/>
    <col min="12545" max="12545" width="0.7109375" style="86" customWidth="1"/>
    <col min="12546" max="12546" width="4.5703125" style="86" customWidth="1"/>
    <col min="12547" max="12547" width="2.7109375" style="86" customWidth="1"/>
    <col min="12548" max="12548" width="5.140625" style="86" customWidth="1"/>
    <col min="12549" max="12549" width="56.85546875" style="86" customWidth="1"/>
    <col min="12550" max="12554" width="3.42578125" style="86" customWidth="1"/>
    <col min="12555" max="12555" width="3.5703125" style="86" customWidth="1"/>
    <col min="12556" max="12558" width="3.42578125" style="86" customWidth="1"/>
    <col min="12559" max="12559" width="3.5703125" style="86" customWidth="1"/>
    <col min="12560" max="12560" width="3.42578125" style="86" customWidth="1"/>
    <col min="12561" max="12564" width="4.28515625" style="86" customWidth="1"/>
    <col min="12565" max="12601" width="3.42578125" style="86" customWidth="1"/>
    <col min="12602" max="12607" width="4.28515625" style="86" customWidth="1"/>
    <col min="12608" max="12608" width="4.42578125" style="86" customWidth="1"/>
    <col min="12609" max="12612" width="0" style="86" hidden="1" customWidth="1"/>
    <col min="12613" max="12613" width="33.5703125" style="86" customWidth="1"/>
    <col min="12614" max="12614" width="1.7109375" style="86" customWidth="1"/>
    <col min="12615" max="12615" width="16.7109375" style="86" customWidth="1"/>
    <col min="12616" max="12617" width="3.28515625" style="86" customWidth="1"/>
    <col min="12618" max="12631" width="2.7109375" style="86" customWidth="1"/>
    <col min="12632" max="12800" width="11.42578125" style="86" customWidth="1"/>
    <col min="12801" max="12801" width="0.7109375" style="86" customWidth="1"/>
    <col min="12802" max="12802" width="4.5703125" style="86" customWidth="1"/>
    <col min="12803" max="12803" width="2.7109375" style="86" customWidth="1"/>
    <col min="12804" max="12804" width="5.140625" style="86" customWidth="1"/>
    <col min="12805" max="12805" width="56.85546875" style="86" customWidth="1"/>
    <col min="12806" max="12810" width="3.42578125" style="86" customWidth="1"/>
    <col min="12811" max="12811" width="3.5703125" style="86" customWidth="1"/>
    <col min="12812" max="12814" width="3.42578125" style="86" customWidth="1"/>
    <col min="12815" max="12815" width="3.5703125" style="86" customWidth="1"/>
    <col min="12816" max="12816" width="3.42578125" style="86" customWidth="1"/>
    <col min="12817" max="12820" width="4.28515625" style="86" customWidth="1"/>
    <col min="12821" max="12857" width="3.42578125" style="86" customWidth="1"/>
    <col min="12858" max="12863" width="4.28515625" style="86" customWidth="1"/>
    <col min="12864" max="12864" width="4.42578125" style="86" customWidth="1"/>
    <col min="12865" max="12868" width="0" style="86" hidden="1" customWidth="1"/>
    <col min="12869" max="12869" width="33.5703125" style="86" customWidth="1"/>
    <col min="12870" max="12870" width="1.7109375" style="86" customWidth="1"/>
    <col min="12871" max="12871" width="16.7109375" style="86" customWidth="1"/>
    <col min="12872" max="12873" width="3.28515625" style="86" customWidth="1"/>
    <col min="12874" max="12887" width="2.7109375" style="86" customWidth="1"/>
    <col min="12888" max="13056" width="11.42578125" style="86" customWidth="1"/>
    <col min="13057" max="13057" width="0.7109375" style="86" customWidth="1"/>
    <col min="13058" max="13058" width="4.5703125" style="86" customWidth="1"/>
    <col min="13059" max="13059" width="2.7109375" style="86" customWidth="1"/>
    <col min="13060" max="13060" width="5.140625" style="86" customWidth="1"/>
    <col min="13061" max="13061" width="56.85546875" style="86" customWidth="1"/>
    <col min="13062" max="13066" width="3.42578125" style="86" customWidth="1"/>
    <col min="13067" max="13067" width="3.5703125" style="86" customWidth="1"/>
    <col min="13068" max="13070" width="3.42578125" style="86" customWidth="1"/>
    <col min="13071" max="13071" width="3.5703125" style="86" customWidth="1"/>
    <col min="13072" max="13072" width="3.42578125" style="86" customWidth="1"/>
    <col min="13073" max="13076" width="4.28515625" style="86" customWidth="1"/>
    <col min="13077" max="13113" width="3.42578125" style="86" customWidth="1"/>
    <col min="13114" max="13119" width="4.28515625" style="86" customWidth="1"/>
    <col min="13120" max="13120" width="4.42578125" style="86" customWidth="1"/>
    <col min="13121" max="13124" width="0" style="86" hidden="1" customWidth="1"/>
    <col min="13125" max="13125" width="33.5703125" style="86" customWidth="1"/>
    <col min="13126" max="13126" width="1.7109375" style="86" customWidth="1"/>
    <col min="13127" max="13127" width="16.7109375" style="86" customWidth="1"/>
    <col min="13128" max="13129" width="3.28515625" style="86" customWidth="1"/>
    <col min="13130" max="13143" width="2.7109375" style="86" customWidth="1"/>
    <col min="13144" max="13312" width="11.42578125" style="86" customWidth="1"/>
    <col min="13313" max="13313" width="0.7109375" style="86" customWidth="1"/>
    <col min="13314" max="13314" width="4.5703125" style="86" customWidth="1"/>
    <col min="13315" max="13315" width="2.7109375" style="86" customWidth="1"/>
    <col min="13316" max="13316" width="5.140625" style="86" customWidth="1"/>
    <col min="13317" max="13317" width="56.85546875" style="86" customWidth="1"/>
    <col min="13318" max="13322" width="3.42578125" style="86" customWidth="1"/>
    <col min="13323" max="13323" width="3.5703125" style="86" customWidth="1"/>
    <col min="13324" max="13326" width="3.42578125" style="86" customWidth="1"/>
    <col min="13327" max="13327" width="3.5703125" style="86" customWidth="1"/>
    <col min="13328" max="13328" width="3.42578125" style="86" customWidth="1"/>
    <col min="13329" max="13332" width="4.28515625" style="86" customWidth="1"/>
    <col min="13333" max="13369" width="3.42578125" style="86" customWidth="1"/>
    <col min="13370" max="13375" width="4.28515625" style="86" customWidth="1"/>
    <col min="13376" max="13376" width="4.42578125" style="86" customWidth="1"/>
    <col min="13377" max="13380" width="0" style="86" hidden="1" customWidth="1"/>
    <col min="13381" max="13381" width="33.5703125" style="86" customWidth="1"/>
    <col min="13382" max="13382" width="1.7109375" style="86" customWidth="1"/>
    <col min="13383" max="13383" width="16.7109375" style="86" customWidth="1"/>
    <col min="13384" max="13385" width="3.28515625" style="86" customWidth="1"/>
    <col min="13386" max="13399" width="2.7109375" style="86" customWidth="1"/>
    <col min="13400" max="13568" width="11.42578125" style="86" customWidth="1"/>
    <col min="13569" max="13569" width="0.7109375" style="86" customWidth="1"/>
    <col min="13570" max="13570" width="4.5703125" style="86" customWidth="1"/>
    <col min="13571" max="13571" width="2.7109375" style="86" customWidth="1"/>
    <col min="13572" max="13572" width="5.140625" style="86" customWidth="1"/>
    <col min="13573" max="13573" width="56.85546875" style="86" customWidth="1"/>
    <col min="13574" max="13578" width="3.42578125" style="86" customWidth="1"/>
    <col min="13579" max="13579" width="3.5703125" style="86" customWidth="1"/>
    <col min="13580" max="13582" width="3.42578125" style="86" customWidth="1"/>
    <col min="13583" max="13583" width="3.5703125" style="86" customWidth="1"/>
    <col min="13584" max="13584" width="3.42578125" style="86" customWidth="1"/>
    <col min="13585" max="13588" width="4.28515625" style="86" customWidth="1"/>
    <col min="13589" max="13625" width="3.42578125" style="86" customWidth="1"/>
    <col min="13626" max="13631" width="4.28515625" style="86" customWidth="1"/>
    <col min="13632" max="13632" width="4.42578125" style="86" customWidth="1"/>
    <col min="13633" max="13636" width="0" style="86" hidden="1" customWidth="1"/>
    <col min="13637" max="13637" width="33.5703125" style="86" customWidth="1"/>
    <col min="13638" max="13638" width="1.7109375" style="86" customWidth="1"/>
    <col min="13639" max="13639" width="16.7109375" style="86" customWidth="1"/>
    <col min="13640" max="13641" width="3.28515625" style="86" customWidth="1"/>
    <col min="13642" max="13655" width="2.7109375" style="86" customWidth="1"/>
    <col min="13656" max="13824" width="11.42578125" style="86" customWidth="1"/>
    <col min="13825" max="13825" width="0.7109375" style="86" customWidth="1"/>
    <col min="13826" max="13826" width="4.5703125" style="86" customWidth="1"/>
    <col min="13827" max="13827" width="2.7109375" style="86" customWidth="1"/>
    <col min="13828" max="13828" width="5.140625" style="86" customWidth="1"/>
    <col min="13829" max="13829" width="56.85546875" style="86" customWidth="1"/>
    <col min="13830" max="13834" width="3.42578125" style="86" customWidth="1"/>
    <col min="13835" max="13835" width="3.5703125" style="86" customWidth="1"/>
    <col min="13836" max="13838" width="3.42578125" style="86" customWidth="1"/>
    <col min="13839" max="13839" width="3.5703125" style="86" customWidth="1"/>
    <col min="13840" max="13840" width="3.42578125" style="86" customWidth="1"/>
    <col min="13841" max="13844" width="4.28515625" style="86" customWidth="1"/>
    <col min="13845" max="13881" width="3.42578125" style="86" customWidth="1"/>
    <col min="13882" max="13887" width="4.28515625" style="86" customWidth="1"/>
    <col min="13888" max="13888" width="4.42578125" style="86" customWidth="1"/>
    <col min="13889" max="13892" width="0" style="86" hidden="1" customWidth="1"/>
    <col min="13893" max="13893" width="33.5703125" style="86" customWidth="1"/>
    <col min="13894" max="13894" width="1.7109375" style="86" customWidth="1"/>
    <col min="13895" max="13895" width="16.7109375" style="86" customWidth="1"/>
    <col min="13896" max="13897" width="3.28515625" style="86" customWidth="1"/>
    <col min="13898" max="13911" width="2.7109375" style="86" customWidth="1"/>
    <col min="13912" max="14080" width="11.42578125" style="86" customWidth="1"/>
    <col min="14081" max="14081" width="0.7109375" style="86" customWidth="1"/>
    <col min="14082" max="14082" width="4.5703125" style="86" customWidth="1"/>
    <col min="14083" max="14083" width="2.7109375" style="86" customWidth="1"/>
    <col min="14084" max="14084" width="5.140625" style="86" customWidth="1"/>
    <col min="14085" max="14085" width="56.85546875" style="86" customWidth="1"/>
    <col min="14086" max="14090" width="3.42578125" style="86" customWidth="1"/>
    <col min="14091" max="14091" width="3.5703125" style="86" customWidth="1"/>
    <col min="14092" max="14094" width="3.42578125" style="86" customWidth="1"/>
    <col min="14095" max="14095" width="3.5703125" style="86" customWidth="1"/>
    <col min="14096" max="14096" width="3.42578125" style="86" customWidth="1"/>
    <col min="14097" max="14100" width="4.28515625" style="86" customWidth="1"/>
    <col min="14101" max="14137" width="3.42578125" style="86" customWidth="1"/>
    <col min="14138" max="14143" width="4.28515625" style="86" customWidth="1"/>
    <col min="14144" max="14144" width="4.42578125" style="86" customWidth="1"/>
    <col min="14145" max="14148" width="0" style="86" hidden="1" customWidth="1"/>
    <col min="14149" max="14149" width="33.5703125" style="86" customWidth="1"/>
    <col min="14150" max="14150" width="1.7109375" style="86" customWidth="1"/>
    <col min="14151" max="14151" width="16.7109375" style="86" customWidth="1"/>
    <col min="14152" max="14153" width="3.28515625" style="86" customWidth="1"/>
    <col min="14154" max="14167" width="2.7109375" style="86" customWidth="1"/>
    <col min="14168" max="14336" width="11.42578125" style="86" customWidth="1"/>
    <col min="14337" max="14337" width="0.7109375" style="86" customWidth="1"/>
    <col min="14338" max="14338" width="4.5703125" style="86" customWidth="1"/>
    <col min="14339" max="14339" width="2.7109375" style="86" customWidth="1"/>
    <col min="14340" max="14340" width="5.140625" style="86" customWidth="1"/>
    <col min="14341" max="14341" width="56.85546875" style="86" customWidth="1"/>
    <col min="14342" max="14346" width="3.42578125" style="86" customWidth="1"/>
    <col min="14347" max="14347" width="3.5703125" style="86" customWidth="1"/>
    <col min="14348" max="14350" width="3.42578125" style="86" customWidth="1"/>
    <col min="14351" max="14351" width="3.5703125" style="86" customWidth="1"/>
    <col min="14352" max="14352" width="3.42578125" style="86" customWidth="1"/>
    <col min="14353" max="14356" width="4.28515625" style="86" customWidth="1"/>
    <col min="14357" max="14393" width="3.42578125" style="86" customWidth="1"/>
    <col min="14394" max="14399" width="4.28515625" style="86" customWidth="1"/>
    <col min="14400" max="14400" width="4.42578125" style="86" customWidth="1"/>
    <col min="14401" max="14404" width="0" style="86" hidden="1" customWidth="1"/>
    <col min="14405" max="14405" width="33.5703125" style="86" customWidth="1"/>
    <col min="14406" max="14406" width="1.7109375" style="86" customWidth="1"/>
    <col min="14407" max="14407" width="16.7109375" style="86" customWidth="1"/>
    <col min="14408" max="14409" width="3.28515625" style="86" customWidth="1"/>
    <col min="14410" max="14423" width="2.7109375" style="86" customWidth="1"/>
    <col min="14424" max="14592" width="11.42578125" style="86" customWidth="1"/>
    <col min="14593" max="14593" width="0.7109375" style="86" customWidth="1"/>
    <col min="14594" max="14594" width="4.5703125" style="86" customWidth="1"/>
    <col min="14595" max="14595" width="2.7109375" style="86" customWidth="1"/>
    <col min="14596" max="14596" width="5.140625" style="86" customWidth="1"/>
    <col min="14597" max="14597" width="56.85546875" style="86" customWidth="1"/>
    <col min="14598" max="14602" width="3.42578125" style="86" customWidth="1"/>
    <col min="14603" max="14603" width="3.5703125" style="86" customWidth="1"/>
    <col min="14604" max="14606" width="3.42578125" style="86" customWidth="1"/>
    <col min="14607" max="14607" width="3.5703125" style="86" customWidth="1"/>
    <col min="14608" max="14608" width="3.42578125" style="86" customWidth="1"/>
    <col min="14609" max="14612" width="4.28515625" style="86" customWidth="1"/>
    <col min="14613" max="14649" width="3.42578125" style="86" customWidth="1"/>
    <col min="14650" max="14655" width="4.28515625" style="86" customWidth="1"/>
    <col min="14656" max="14656" width="4.42578125" style="86" customWidth="1"/>
    <col min="14657" max="14660" width="0" style="86" hidden="1" customWidth="1"/>
    <col min="14661" max="14661" width="33.5703125" style="86" customWidth="1"/>
    <col min="14662" max="14662" width="1.7109375" style="86" customWidth="1"/>
    <col min="14663" max="14663" width="16.7109375" style="86" customWidth="1"/>
    <col min="14664" max="14665" width="3.28515625" style="86" customWidth="1"/>
    <col min="14666" max="14679" width="2.7109375" style="86" customWidth="1"/>
    <col min="14680" max="14848" width="11.42578125" style="86" customWidth="1"/>
    <col min="14849" max="14849" width="0.7109375" style="86" customWidth="1"/>
    <col min="14850" max="14850" width="4.5703125" style="86" customWidth="1"/>
    <col min="14851" max="14851" width="2.7109375" style="86" customWidth="1"/>
    <col min="14852" max="14852" width="5.140625" style="86" customWidth="1"/>
    <col min="14853" max="14853" width="56.85546875" style="86" customWidth="1"/>
    <col min="14854" max="14858" width="3.42578125" style="86" customWidth="1"/>
    <col min="14859" max="14859" width="3.5703125" style="86" customWidth="1"/>
    <col min="14860" max="14862" width="3.42578125" style="86" customWidth="1"/>
    <col min="14863" max="14863" width="3.5703125" style="86" customWidth="1"/>
    <col min="14864" max="14864" width="3.42578125" style="86" customWidth="1"/>
    <col min="14865" max="14868" width="4.28515625" style="86" customWidth="1"/>
    <col min="14869" max="14905" width="3.42578125" style="86" customWidth="1"/>
    <col min="14906" max="14911" width="4.28515625" style="86" customWidth="1"/>
    <col min="14912" max="14912" width="4.42578125" style="86" customWidth="1"/>
    <col min="14913" max="14916" width="0" style="86" hidden="1" customWidth="1"/>
    <col min="14917" max="14917" width="33.5703125" style="86" customWidth="1"/>
    <col min="14918" max="14918" width="1.7109375" style="86" customWidth="1"/>
    <col min="14919" max="14919" width="16.7109375" style="86" customWidth="1"/>
    <col min="14920" max="14921" width="3.28515625" style="86" customWidth="1"/>
    <col min="14922" max="14935" width="2.7109375" style="86" customWidth="1"/>
    <col min="14936" max="15104" width="11.42578125" style="86" customWidth="1"/>
    <col min="15105" max="15105" width="0.7109375" style="86" customWidth="1"/>
    <col min="15106" max="15106" width="4.5703125" style="86" customWidth="1"/>
    <col min="15107" max="15107" width="2.7109375" style="86" customWidth="1"/>
    <col min="15108" max="15108" width="5.140625" style="86" customWidth="1"/>
    <col min="15109" max="15109" width="56.85546875" style="86" customWidth="1"/>
    <col min="15110" max="15114" width="3.42578125" style="86" customWidth="1"/>
    <col min="15115" max="15115" width="3.5703125" style="86" customWidth="1"/>
    <col min="15116" max="15118" width="3.42578125" style="86" customWidth="1"/>
    <col min="15119" max="15119" width="3.5703125" style="86" customWidth="1"/>
    <col min="15120" max="15120" width="3.42578125" style="86" customWidth="1"/>
    <col min="15121" max="15124" width="4.28515625" style="86" customWidth="1"/>
    <col min="15125" max="15161" width="3.42578125" style="86" customWidth="1"/>
    <col min="15162" max="15167" width="4.28515625" style="86" customWidth="1"/>
    <col min="15168" max="15168" width="4.42578125" style="86" customWidth="1"/>
    <col min="15169" max="15172" width="0" style="86" hidden="1" customWidth="1"/>
    <col min="15173" max="15173" width="33.5703125" style="86" customWidth="1"/>
    <col min="15174" max="15174" width="1.7109375" style="86" customWidth="1"/>
    <col min="15175" max="15175" width="16.7109375" style="86" customWidth="1"/>
    <col min="15176" max="15177" width="3.28515625" style="86" customWidth="1"/>
    <col min="15178" max="15191" width="2.7109375" style="86" customWidth="1"/>
    <col min="15192" max="15360" width="11.42578125" style="86" customWidth="1"/>
    <col min="15361" max="15361" width="0.7109375" style="86" customWidth="1"/>
    <col min="15362" max="15362" width="4.5703125" style="86" customWidth="1"/>
    <col min="15363" max="15363" width="2.7109375" style="86" customWidth="1"/>
    <col min="15364" max="15364" width="5.140625" style="86" customWidth="1"/>
    <col min="15365" max="15365" width="56.85546875" style="86" customWidth="1"/>
    <col min="15366" max="15370" width="3.42578125" style="86" customWidth="1"/>
    <col min="15371" max="15371" width="3.5703125" style="86" customWidth="1"/>
    <col min="15372" max="15374" width="3.42578125" style="86" customWidth="1"/>
    <col min="15375" max="15375" width="3.5703125" style="86" customWidth="1"/>
    <col min="15376" max="15376" width="3.42578125" style="86" customWidth="1"/>
    <col min="15377" max="15380" width="4.28515625" style="86" customWidth="1"/>
    <col min="15381" max="15417" width="3.42578125" style="86" customWidth="1"/>
    <col min="15418" max="15423" width="4.28515625" style="86" customWidth="1"/>
    <col min="15424" max="15424" width="4.42578125" style="86" customWidth="1"/>
    <col min="15425" max="15428" width="0" style="86" hidden="1" customWidth="1"/>
    <col min="15429" max="15429" width="33.5703125" style="86" customWidth="1"/>
    <col min="15430" max="15430" width="1.7109375" style="86" customWidth="1"/>
    <col min="15431" max="15431" width="16.7109375" style="86" customWidth="1"/>
    <col min="15432" max="15433" width="3.28515625" style="86" customWidth="1"/>
    <col min="15434" max="15447" width="2.7109375" style="86" customWidth="1"/>
    <col min="15448" max="15616" width="11.42578125" style="86" customWidth="1"/>
    <col min="15617" max="15617" width="0.7109375" style="86" customWidth="1"/>
    <col min="15618" max="15618" width="4.5703125" style="86" customWidth="1"/>
    <col min="15619" max="15619" width="2.7109375" style="86" customWidth="1"/>
    <col min="15620" max="15620" width="5.140625" style="86" customWidth="1"/>
    <col min="15621" max="15621" width="56.85546875" style="86" customWidth="1"/>
    <col min="15622" max="15626" width="3.42578125" style="86" customWidth="1"/>
    <col min="15627" max="15627" width="3.5703125" style="86" customWidth="1"/>
    <col min="15628" max="15630" width="3.42578125" style="86" customWidth="1"/>
    <col min="15631" max="15631" width="3.5703125" style="86" customWidth="1"/>
    <col min="15632" max="15632" width="3.42578125" style="86" customWidth="1"/>
    <col min="15633" max="15636" width="4.28515625" style="86" customWidth="1"/>
    <col min="15637" max="15673" width="3.42578125" style="86" customWidth="1"/>
    <col min="15674" max="15679" width="4.28515625" style="86" customWidth="1"/>
    <col min="15680" max="15680" width="4.42578125" style="86" customWidth="1"/>
    <col min="15681" max="15684" width="0" style="86" hidden="1" customWidth="1"/>
    <col min="15685" max="15685" width="33.5703125" style="86" customWidth="1"/>
    <col min="15686" max="15686" width="1.7109375" style="86" customWidth="1"/>
    <col min="15687" max="15687" width="16.7109375" style="86" customWidth="1"/>
    <col min="15688" max="15689" width="3.28515625" style="86" customWidth="1"/>
    <col min="15690" max="15703" width="2.7109375" style="86" customWidth="1"/>
    <col min="15704" max="15872" width="11.42578125" style="86" customWidth="1"/>
    <col min="15873" max="15873" width="0.7109375" style="86" customWidth="1"/>
    <col min="15874" max="15874" width="4.5703125" style="86" customWidth="1"/>
    <col min="15875" max="15875" width="2.7109375" style="86" customWidth="1"/>
    <col min="15876" max="15876" width="5.140625" style="86" customWidth="1"/>
    <col min="15877" max="15877" width="56.85546875" style="86" customWidth="1"/>
    <col min="15878" max="15882" width="3.42578125" style="86" customWidth="1"/>
    <col min="15883" max="15883" width="3.5703125" style="86" customWidth="1"/>
    <col min="15884" max="15886" width="3.42578125" style="86" customWidth="1"/>
    <col min="15887" max="15887" width="3.5703125" style="86" customWidth="1"/>
    <col min="15888" max="15888" width="3.42578125" style="86" customWidth="1"/>
    <col min="15889" max="15892" width="4.28515625" style="86" customWidth="1"/>
    <col min="15893" max="15929" width="3.42578125" style="86" customWidth="1"/>
    <col min="15930" max="15935" width="4.28515625" style="86" customWidth="1"/>
    <col min="15936" max="15936" width="4.42578125" style="86" customWidth="1"/>
    <col min="15937" max="15940" width="0" style="86" hidden="1" customWidth="1"/>
    <col min="15941" max="15941" width="33.5703125" style="86" customWidth="1"/>
    <col min="15942" max="15942" width="1.7109375" style="86" customWidth="1"/>
    <col min="15943" max="15943" width="16.7109375" style="86" customWidth="1"/>
    <col min="15944" max="15945" width="3.28515625" style="86" customWidth="1"/>
    <col min="15946" max="15959" width="2.7109375" style="86" customWidth="1"/>
    <col min="15960" max="16128" width="11.42578125" style="86" customWidth="1"/>
    <col min="16129" max="16129" width="0.7109375" style="86" customWidth="1"/>
    <col min="16130" max="16130" width="4.5703125" style="86" customWidth="1"/>
    <col min="16131" max="16131" width="2.7109375" style="86" customWidth="1"/>
    <col min="16132" max="16132" width="5.140625" style="86" customWidth="1"/>
    <col min="16133" max="16133" width="56.85546875" style="86" customWidth="1"/>
    <col min="16134" max="16138" width="3.42578125" style="86" customWidth="1"/>
    <col min="16139" max="16139" width="3.5703125" style="86" customWidth="1"/>
    <col min="16140" max="16142" width="3.42578125" style="86" customWidth="1"/>
    <col min="16143" max="16143" width="3.5703125" style="86" customWidth="1"/>
    <col min="16144" max="16144" width="3.42578125" style="86" customWidth="1"/>
    <col min="16145" max="16148" width="4.28515625" style="86" customWidth="1"/>
    <col min="16149" max="16185" width="3.42578125" style="86" customWidth="1"/>
    <col min="16186" max="16191" width="4.28515625" style="86" customWidth="1"/>
    <col min="16192" max="16192" width="4.42578125" style="86" customWidth="1"/>
    <col min="16193" max="16196" width="0" style="86" hidden="1" customWidth="1"/>
    <col min="16197" max="16197" width="33.5703125" style="86" customWidth="1"/>
    <col min="16198" max="16198" width="1.7109375" style="86" customWidth="1"/>
    <col min="16199" max="16199" width="16.7109375" style="86" customWidth="1"/>
    <col min="16200" max="16201" width="3.28515625" style="86" customWidth="1"/>
    <col min="16202" max="16215" width="2.7109375" style="86" customWidth="1"/>
    <col min="16216" max="16384" width="11.42578125" style="86" customWidth="1"/>
  </cols>
  <sheetData>
    <row r="1" spans="2:89" ht="15.75" customHeight="1">
      <c r="B1" s="2" t="s">
        <v>1</v>
      </c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5"/>
      <c r="AE1" s="5"/>
      <c r="AF1" s="5"/>
      <c r="AG1" s="5"/>
      <c r="AH1" s="5"/>
      <c r="AI1" s="5"/>
      <c r="AJ1" s="5"/>
      <c r="AK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7"/>
      <c r="BI1" s="7"/>
      <c r="BJ1" s="5"/>
      <c r="BK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2:89" ht="18.75" customHeight="1">
      <c r="B2" s="2"/>
      <c r="C2" s="2"/>
      <c r="D2" s="2"/>
      <c r="E2" s="2"/>
      <c r="F2" s="1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9" t="s">
        <v>2</v>
      </c>
      <c r="BG2" s="10"/>
      <c r="BH2" s="10"/>
      <c r="BI2" s="10"/>
      <c r="BJ2" s="10"/>
      <c r="BK2" s="10"/>
      <c r="BL2" s="10"/>
      <c r="BM2" s="10"/>
      <c r="BN2" s="10"/>
      <c r="BO2" s="11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</row>
    <row r="3" spans="2:89">
      <c r="B3" s="12"/>
      <c r="C3" s="12"/>
      <c r="D3" s="12"/>
      <c r="E3" s="12"/>
      <c r="F3" s="13"/>
      <c r="G3" s="14" t="s">
        <v>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6"/>
      <c r="AM3" s="15"/>
      <c r="AN3" s="15"/>
      <c r="AO3" s="15"/>
      <c r="AP3" s="15"/>
      <c r="AQ3" s="15"/>
      <c r="AR3" s="17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8"/>
      <c r="BM3" s="15"/>
      <c r="BN3" s="15"/>
      <c r="BO3" s="15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</row>
    <row r="4" spans="2:89" ht="15.95" customHeight="1">
      <c r="B4" s="19" t="s">
        <v>4</v>
      </c>
      <c r="C4" s="20" t="s">
        <v>5</v>
      </c>
      <c r="D4" s="20"/>
      <c r="E4" s="21" t="s">
        <v>6</v>
      </c>
      <c r="F4" s="22" t="s">
        <v>7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4" t="s">
        <v>8</v>
      </c>
      <c r="BG4" s="25"/>
      <c r="BH4" s="25"/>
      <c r="BI4" s="26"/>
      <c r="BJ4" s="27" t="s">
        <v>9</v>
      </c>
      <c r="BK4" s="28"/>
      <c r="BL4" s="29"/>
      <c r="BM4" s="30"/>
      <c r="BN4" s="31" t="s">
        <v>10</v>
      </c>
      <c r="BO4" s="32"/>
      <c r="BP4" s="94"/>
      <c r="BQ4" s="94"/>
      <c r="BR4" s="94"/>
      <c r="BS4" s="94"/>
      <c r="BT4" s="94"/>
      <c r="BU4" s="94"/>
      <c r="BV4" s="95"/>
      <c r="BW4" s="95"/>
      <c r="BX4" s="95"/>
      <c r="BY4" s="95"/>
      <c r="BZ4" s="95"/>
      <c r="CA4" s="95"/>
    </row>
    <row r="5" spans="2:89" ht="114.95" customHeight="1">
      <c r="B5" s="33"/>
      <c r="C5" s="34" t="s">
        <v>11</v>
      </c>
      <c r="D5" s="35" t="s">
        <v>4</v>
      </c>
      <c r="E5" s="35" t="s">
        <v>12</v>
      </c>
      <c r="F5" s="36" t="s">
        <v>13</v>
      </c>
      <c r="G5" s="36" t="s">
        <v>14</v>
      </c>
      <c r="H5" s="36" t="s">
        <v>15</v>
      </c>
      <c r="I5" s="36" t="s">
        <v>16</v>
      </c>
      <c r="J5" s="36" t="s">
        <v>17</v>
      </c>
      <c r="K5" s="36" t="s">
        <v>18</v>
      </c>
      <c r="L5" s="36" t="s">
        <v>19</v>
      </c>
      <c r="M5" s="36" t="s">
        <v>20</v>
      </c>
      <c r="N5" s="37" t="s">
        <v>21</v>
      </c>
      <c r="O5" s="36" t="s">
        <v>22</v>
      </c>
      <c r="P5" s="36" t="s">
        <v>23</v>
      </c>
      <c r="Q5" s="36" t="s">
        <v>24</v>
      </c>
      <c r="R5" s="36" t="s">
        <v>25</v>
      </c>
      <c r="S5" s="36" t="s">
        <v>26</v>
      </c>
      <c r="T5" s="36" t="s">
        <v>27</v>
      </c>
      <c r="U5" s="36" t="s">
        <v>28</v>
      </c>
      <c r="V5" s="36" t="s">
        <v>29</v>
      </c>
      <c r="W5" s="36" t="s">
        <v>30</v>
      </c>
      <c r="X5" s="38" t="s">
        <v>31</v>
      </c>
      <c r="Y5" s="36" t="s">
        <v>32</v>
      </c>
      <c r="Z5" s="36" t="s">
        <v>33</v>
      </c>
      <c r="AA5" s="36" t="s">
        <v>34</v>
      </c>
      <c r="AB5" s="38" t="s">
        <v>35</v>
      </c>
      <c r="AC5" s="36" t="s">
        <v>36</v>
      </c>
      <c r="AD5" s="39" t="s">
        <v>37</v>
      </c>
      <c r="AE5" s="36" t="s">
        <v>38</v>
      </c>
      <c r="AF5" s="40" t="s">
        <v>39</v>
      </c>
      <c r="AG5" s="40" t="s">
        <v>40</v>
      </c>
      <c r="AH5" s="40" t="s">
        <v>41</v>
      </c>
      <c r="AI5" s="40" t="s">
        <v>42</v>
      </c>
      <c r="AJ5" s="40" t="s">
        <v>43</v>
      </c>
      <c r="AK5" s="40" t="s">
        <v>44</v>
      </c>
      <c r="AL5" s="41" t="s">
        <v>45</v>
      </c>
      <c r="AM5" s="42" t="s">
        <v>46</v>
      </c>
      <c r="AN5" s="43" t="s">
        <v>47</v>
      </c>
      <c r="AO5" s="40" t="s">
        <v>48</v>
      </c>
      <c r="AP5" s="40" t="s">
        <v>49</v>
      </c>
      <c r="AQ5" s="40" t="s">
        <v>50</v>
      </c>
      <c r="AR5" s="44" t="s">
        <v>51</v>
      </c>
      <c r="AS5" s="36" t="s">
        <v>52</v>
      </c>
      <c r="AT5" s="36" t="s">
        <v>53</v>
      </c>
      <c r="AU5" s="36" t="s">
        <v>54</v>
      </c>
      <c r="AV5" s="36" t="s">
        <v>55</v>
      </c>
      <c r="AW5" s="36" t="s">
        <v>56</v>
      </c>
      <c r="AX5" s="36" t="s">
        <v>57</v>
      </c>
      <c r="AY5" s="36" t="s">
        <v>58</v>
      </c>
      <c r="AZ5" s="38" t="s">
        <v>59</v>
      </c>
      <c r="BA5" s="36" t="s">
        <v>60</v>
      </c>
      <c r="BB5" s="36" t="s">
        <v>61</v>
      </c>
      <c r="BC5" s="39" t="s">
        <v>62</v>
      </c>
      <c r="BD5" s="36" t="s">
        <v>63</v>
      </c>
      <c r="BE5" s="36" t="s">
        <v>64</v>
      </c>
      <c r="BF5" s="45" t="s">
        <v>65</v>
      </c>
      <c r="BG5" s="45" t="s">
        <v>66</v>
      </c>
      <c r="BH5" s="45" t="s">
        <v>67</v>
      </c>
      <c r="BI5" s="45" t="s">
        <v>68</v>
      </c>
      <c r="BJ5" s="46" t="s">
        <v>69</v>
      </c>
      <c r="BK5" s="46" t="s">
        <v>70</v>
      </c>
      <c r="BL5" s="47" t="s">
        <v>71</v>
      </c>
      <c r="BM5" s="48" t="s">
        <v>72</v>
      </c>
      <c r="BN5" s="49" t="s">
        <v>69</v>
      </c>
      <c r="BO5" s="50" t="s">
        <v>70</v>
      </c>
      <c r="BP5" s="94"/>
      <c r="BQ5" s="94"/>
      <c r="BR5" s="94"/>
      <c r="BS5" s="94"/>
      <c r="BT5" s="94"/>
      <c r="BU5" s="94"/>
      <c r="BV5" s="95"/>
      <c r="BW5" s="95"/>
      <c r="BX5" s="95"/>
      <c r="BY5" s="95"/>
      <c r="BZ5" s="95"/>
      <c r="CA5" s="95"/>
    </row>
    <row r="6" spans="2:89" s="96" customFormat="1" ht="21" customHeight="1">
      <c r="B6" s="51" t="s">
        <v>73</v>
      </c>
      <c r="C6" s="52" t="s">
        <v>74</v>
      </c>
      <c r="D6" s="53" t="s">
        <v>73</v>
      </c>
      <c r="E6" s="54" t="s">
        <v>75</v>
      </c>
      <c r="F6" s="55"/>
      <c r="G6" s="55"/>
      <c r="H6" s="55"/>
      <c r="I6" s="55"/>
      <c r="J6" s="55"/>
      <c r="K6" s="55"/>
      <c r="L6" s="55"/>
      <c r="M6" s="55"/>
      <c r="N6" s="56"/>
      <c r="O6" s="55"/>
      <c r="P6" s="55"/>
      <c r="Q6" s="57"/>
      <c r="R6" s="55"/>
      <c r="S6" s="58"/>
      <c r="T6" s="58"/>
      <c r="U6" s="55"/>
      <c r="V6" s="55"/>
      <c r="W6" s="55"/>
      <c r="X6" s="55"/>
      <c r="Y6" s="55"/>
      <c r="Z6" s="55"/>
      <c r="AA6" s="55"/>
      <c r="AB6" s="55"/>
      <c r="AC6" s="55"/>
      <c r="AD6" s="55"/>
      <c r="AE6" s="57"/>
      <c r="AF6" s="57"/>
      <c r="AG6" s="57"/>
      <c r="AH6" s="55">
        <v>1</v>
      </c>
      <c r="AI6" s="55">
        <v>1</v>
      </c>
      <c r="AJ6" s="57"/>
      <c r="AK6" s="57"/>
      <c r="AL6" s="59"/>
      <c r="AM6" s="57"/>
      <c r="AN6" s="57"/>
      <c r="AO6" s="55"/>
      <c r="AP6" s="55"/>
      <c r="AQ6" s="57"/>
      <c r="AR6" s="60"/>
      <c r="AS6" s="57"/>
      <c r="AT6" s="57"/>
      <c r="AU6" s="57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55"/>
      <c r="BG6" s="62"/>
      <c r="BH6" s="63">
        <f t="shared" ref="BH6:BH35" si="0">SUM(F6:BG6)</f>
        <v>2</v>
      </c>
      <c r="BI6" s="64">
        <v>2</v>
      </c>
      <c r="BJ6" s="62"/>
      <c r="BK6" s="62">
        <f>BH6-BI6</f>
        <v>0</v>
      </c>
      <c r="BL6" s="64"/>
      <c r="BM6" s="65"/>
      <c r="BN6" s="65"/>
      <c r="BO6" s="65"/>
      <c r="BP6" s="97"/>
      <c r="BQ6" s="98"/>
      <c r="BR6" s="97"/>
      <c r="BS6" s="99"/>
      <c r="BT6" s="97"/>
      <c r="BU6" s="97"/>
      <c r="BV6" s="97"/>
      <c r="BW6" s="97"/>
      <c r="BX6" s="97"/>
      <c r="BY6" s="97"/>
      <c r="BZ6" s="100"/>
      <c r="CA6" s="100"/>
    </row>
    <row r="7" spans="2:89" s="96" customFormat="1" ht="21" customHeight="1">
      <c r="B7" s="51" t="s">
        <v>76</v>
      </c>
      <c r="C7" s="52" t="s">
        <v>74</v>
      </c>
      <c r="D7" s="53" t="s">
        <v>76</v>
      </c>
      <c r="E7" s="54" t="s">
        <v>77</v>
      </c>
      <c r="F7" s="66"/>
      <c r="G7" s="66"/>
      <c r="H7" s="66"/>
      <c r="I7" s="66"/>
      <c r="J7" s="66"/>
      <c r="K7" s="66"/>
      <c r="L7" s="66"/>
      <c r="M7" s="66"/>
      <c r="N7" s="67">
        <v>1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8"/>
      <c r="AS7" s="66"/>
      <c r="AT7" s="66"/>
      <c r="AU7" s="66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55"/>
      <c r="BG7" s="70"/>
      <c r="BH7" s="63">
        <f t="shared" si="0"/>
        <v>1</v>
      </c>
      <c r="BI7" s="63">
        <v>1</v>
      </c>
      <c r="BJ7" s="70"/>
      <c r="BK7" s="62">
        <f t="shared" ref="BK7:BK35" si="1">BH7-BI7</f>
        <v>0</v>
      </c>
      <c r="BL7" s="63"/>
      <c r="BM7" s="71"/>
      <c r="BN7" s="71"/>
      <c r="BO7" s="72"/>
      <c r="BP7" s="101"/>
      <c r="BQ7" s="102"/>
      <c r="BR7" s="101"/>
      <c r="BS7" s="103"/>
      <c r="BT7" s="103"/>
      <c r="BU7" s="103"/>
      <c r="BV7" s="103"/>
      <c r="BW7" s="101"/>
      <c r="BX7" s="101"/>
      <c r="BY7" s="101"/>
      <c r="BZ7" s="101"/>
      <c r="CA7" s="101"/>
    </row>
    <row r="8" spans="2:89" s="96" customFormat="1" ht="21" customHeight="1">
      <c r="B8" s="51" t="s">
        <v>78</v>
      </c>
      <c r="C8" s="73" t="s">
        <v>74</v>
      </c>
      <c r="D8" s="53" t="s">
        <v>78</v>
      </c>
      <c r="E8" s="54" t="s">
        <v>79</v>
      </c>
      <c r="F8" s="66"/>
      <c r="G8" s="66"/>
      <c r="H8" s="66"/>
      <c r="I8" s="66"/>
      <c r="J8" s="66"/>
      <c r="K8" s="66"/>
      <c r="L8" s="66"/>
      <c r="M8" s="66"/>
      <c r="N8" s="67">
        <v>11</v>
      </c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8"/>
      <c r="AS8" s="66"/>
      <c r="AT8" s="66"/>
      <c r="AU8" s="66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55"/>
      <c r="BG8" s="70"/>
      <c r="BH8" s="63">
        <f t="shared" si="0"/>
        <v>11</v>
      </c>
      <c r="BI8" s="63">
        <v>11</v>
      </c>
      <c r="BJ8" s="70"/>
      <c r="BK8" s="62">
        <f t="shared" si="1"/>
        <v>0</v>
      </c>
      <c r="BL8" s="63"/>
      <c r="BM8" s="71"/>
      <c r="BN8" s="72"/>
      <c r="BO8" s="71"/>
      <c r="BP8" s="101"/>
      <c r="BQ8" s="104"/>
      <c r="BR8" s="104"/>
      <c r="BS8" s="104"/>
      <c r="BT8" s="104"/>
      <c r="BU8" s="104"/>
      <c r="BV8" s="104"/>
      <c r="BW8" s="101"/>
      <c r="BX8" s="101"/>
      <c r="BY8" s="101"/>
      <c r="BZ8" s="101"/>
      <c r="CA8" s="101"/>
    </row>
    <row r="9" spans="2:89" s="96" customFormat="1" ht="21" customHeight="1">
      <c r="B9" s="51" t="s">
        <v>80</v>
      </c>
      <c r="C9" s="73" t="s">
        <v>74</v>
      </c>
      <c r="D9" s="53" t="s">
        <v>80</v>
      </c>
      <c r="E9" s="54" t="s">
        <v>81</v>
      </c>
      <c r="F9" s="66"/>
      <c r="G9" s="66"/>
      <c r="H9" s="66"/>
      <c r="I9" s="66"/>
      <c r="J9" s="66"/>
      <c r="K9" s="66"/>
      <c r="L9" s="66"/>
      <c r="M9" s="66"/>
      <c r="N9" s="67">
        <v>3</v>
      </c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8"/>
      <c r="AS9" s="66"/>
      <c r="AT9" s="66"/>
      <c r="AU9" s="66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55"/>
      <c r="BG9" s="70"/>
      <c r="BH9" s="63">
        <f t="shared" si="0"/>
        <v>3</v>
      </c>
      <c r="BI9" s="63">
        <v>3</v>
      </c>
      <c r="BJ9" s="70"/>
      <c r="BK9" s="62">
        <f t="shared" si="1"/>
        <v>0</v>
      </c>
      <c r="BL9" s="63"/>
      <c r="BM9" s="71"/>
      <c r="BN9" s="71"/>
      <c r="BO9" s="71"/>
      <c r="BP9" s="101"/>
      <c r="BQ9" s="101"/>
      <c r="BR9" s="101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</row>
    <row r="10" spans="2:89" s="96" customFormat="1" ht="21" customHeight="1">
      <c r="B10" s="51" t="s">
        <v>82</v>
      </c>
      <c r="C10" s="73" t="s">
        <v>74</v>
      </c>
      <c r="D10" s="53" t="s">
        <v>82</v>
      </c>
      <c r="E10" s="54" t="s">
        <v>83</v>
      </c>
      <c r="F10" s="66"/>
      <c r="G10" s="66"/>
      <c r="H10" s="66"/>
      <c r="I10" s="66"/>
      <c r="J10" s="66"/>
      <c r="K10" s="66"/>
      <c r="L10" s="66"/>
      <c r="M10" s="66"/>
      <c r="N10" s="67">
        <v>6</v>
      </c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8"/>
      <c r="AS10" s="66"/>
      <c r="AT10" s="66"/>
      <c r="AU10" s="66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55"/>
      <c r="BG10" s="70"/>
      <c r="BH10" s="63">
        <f t="shared" si="0"/>
        <v>6</v>
      </c>
      <c r="BI10" s="63">
        <v>6</v>
      </c>
      <c r="BJ10" s="70"/>
      <c r="BK10" s="62">
        <f t="shared" si="1"/>
        <v>0</v>
      </c>
      <c r="BL10" s="63"/>
      <c r="BM10" s="71"/>
      <c r="BN10" s="71"/>
      <c r="BO10" s="71"/>
      <c r="BP10" s="101"/>
      <c r="BQ10" s="101"/>
      <c r="BR10" s="101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</row>
    <row r="11" spans="2:89" s="96" customFormat="1" ht="21" customHeight="1">
      <c r="B11" s="51" t="s">
        <v>84</v>
      </c>
      <c r="C11" s="73" t="s">
        <v>74</v>
      </c>
      <c r="D11" s="53" t="s">
        <v>84</v>
      </c>
      <c r="E11" s="54" t="s">
        <v>85</v>
      </c>
      <c r="F11" s="66"/>
      <c r="G11" s="66"/>
      <c r="H11" s="66"/>
      <c r="I11" s="66"/>
      <c r="J11" s="66"/>
      <c r="K11" s="66"/>
      <c r="L11" s="66"/>
      <c r="M11" s="66"/>
      <c r="N11" s="67">
        <v>16</v>
      </c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8"/>
      <c r="AS11" s="66"/>
      <c r="AT11" s="66"/>
      <c r="AU11" s="66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55"/>
      <c r="BG11" s="70"/>
      <c r="BH11" s="63">
        <f t="shared" si="0"/>
        <v>16</v>
      </c>
      <c r="BI11" s="63">
        <v>16</v>
      </c>
      <c r="BJ11" s="70"/>
      <c r="BK11" s="62">
        <f t="shared" si="1"/>
        <v>0</v>
      </c>
      <c r="BL11" s="63"/>
      <c r="BM11" s="71"/>
      <c r="BN11" s="71"/>
      <c r="BO11" s="71"/>
      <c r="BP11" s="101"/>
      <c r="BQ11" s="101"/>
      <c r="BR11" s="101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</row>
    <row r="12" spans="2:89" s="96" customFormat="1" ht="21" customHeight="1">
      <c r="B12" s="51" t="s">
        <v>86</v>
      </c>
      <c r="C12" s="73" t="s">
        <v>74</v>
      </c>
      <c r="D12" s="53" t="s">
        <v>86</v>
      </c>
      <c r="E12" s="54" t="s">
        <v>87</v>
      </c>
      <c r="F12" s="66"/>
      <c r="G12" s="66"/>
      <c r="H12" s="66"/>
      <c r="I12" s="66"/>
      <c r="J12" s="66"/>
      <c r="K12" s="66"/>
      <c r="L12" s="66"/>
      <c r="M12" s="66"/>
      <c r="N12" s="67">
        <v>1</v>
      </c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8"/>
      <c r="AS12" s="66"/>
      <c r="AT12" s="66"/>
      <c r="AU12" s="66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55"/>
      <c r="BG12" s="70"/>
      <c r="BH12" s="63">
        <f t="shared" si="0"/>
        <v>1</v>
      </c>
      <c r="BI12" s="63">
        <v>1</v>
      </c>
      <c r="BJ12" s="70"/>
      <c r="BK12" s="62">
        <f t="shared" si="1"/>
        <v>0</v>
      </c>
      <c r="BL12" s="63"/>
      <c r="BM12" s="71"/>
      <c r="BN12" s="71"/>
      <c r="BO12" s="71"/>
      <c r="BP12" s="101"/>
      <c r="BQ12" s="101"/>
      <c r="BR12" s="101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</row>
    <row r="13" spans="2:89" s="96" customFormat="1" ht="21" customHeight="1">
      <c r="B13" s="51" t="s">
        <v>88</v>
      </c>
      <c r="C13" s="73" t="s">
        <v>74</v>
      </c>
      <c r="D13" s="53" t="s">
        <v>88</v>
      </c>
      <c r="E13" s="54" t="s">
        <v>89</v>
      </c>
      <c r="F13" s="66"/>
      <c r="G13" s="66"/>
      <c r="H13" s="66"/>
      <c r="I13" s="66"/>
      <c r="J13" s="66"/>
      <c r="K13" s="66"/>
      <c r="L13" s="66"/>
      <c r="M13" s="66"/>
      <c r="N13" s="67">
        <v>3</v>
      </c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8"/>
      <c r="AS13" s="66"/>
      <c r="AT13" s="66"/>
      <c r="AU13" s="66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55"/>
      <c r="BG13" s="70"/>
      <c r="BH13" s="63">
        <f t="shared" si="0"/>
        <v>3</v>
      </c>
      <c r="BI13" s="63">
        <v>3</v>
      </c>
      <c r="BJ13" s="70"/>
      <c r="BK13" s="62">
        <f t="shared" si="1"/>
        <v>0</v>
      </c>
      <c r="BL13" s="63"/>
      <c r="BM13" s="71"/>
      <c r="BN13" s="71"/>
      <c r="BO13" s="71"/>
      <c r="BP13" s="101"/>
      <c r="BQ13" s="101"/>
      <c r="BR13" s="101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</row>
    <row r="14" spans="2:89" s="96" customFormat="1" ht="21" customHeight="1">
      <c r="B14" s="51" t="s">
        <v>90</v>
      </c>
      <c r="C14" s="73" t="s">
        <v>74</v>
      </c>
      <c r="D14" s="53" t="s">
        <v>90</v>
      </c>
      <c r="E14" s="54" t="s">
        <v>91</v>
      </c>
      <c r="F14" s="66"/>
      <c r="G14" s="66"/>
      <c r="H14" s="66"/>
      <c r="I14" s="66"/>
      <c r="J14" s="66"/>
      <c r="K14" s="66"/>
      <c r="L14" s="66"/>
      <c r="M14" s="66"/>
      <c r="N14" s="67">
        <v>3</v>
      </c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8"/>
      <c r="AS14" s="66"/>
      <c r="AT14" s="66"/>
      <c r="AU14" s="66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55"/>
      <c r="BG14" s="70"/>
      <c r="BH14" s="63">
        <f t="shared" si="0"/>
        <v>3</v>
      </c>
      <c r="BI14" s="63">
        <v>3</v>
      </c>
      <c r="BJ14" s="70"/>
      <c r="BK14" s="62">
        <f t="shared" si="1"/>
        <v>0</v>
      </c>
      <c r="BL14" s="63"/>
      <c r="BM14" s="71"/>
      <c r="BN14" s="71"/>
      <c r="BO14" s="71"/>
      <c r="BP14" s="101"/>
      <c r="BQ14" s="101"/>
      <c r="BR14" s="101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</row>
    <row r="15" spans="2:89" s="96" customFormat="1" ht="21" customHeight="1">
      <c r="B15" s="51" t="s">
        <v>92</v>
      </c>
      <c r="C15" s="73" t="s">
        <v>74</v>
      </c>
      <c r="D15" s="53" t="s">
        <v>92</v>
      </c>
      <c r="E15" s="54" t="s">
        <v>93</v>
      </c>
      <c r="F15" s="66"/>
      <c r="G15" s="66"/>
      <c r="H15" s="66"/>
      <c r="I15" s="66"/>
      <c r="J15" s="66"/>
      <c r="K15" s="66"/>
      <c r="L15" s="66"/>
      <c r="M15" s="66"/>
      <c r="N15" s="67">
        <v>2</v>
      </c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8"/>
      <c r="AS15" s="66"/>
      <c r="AT15" s="66"/>
      <c r="AU15" s="66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55"/>
      <c r="BG15" s="70"/>
      <c r="BH15" s="63">
        <f t="shared" si="0"/>
        <v>2</v>
      </c>
      <c r="BI15" s="63">
        <v>2</v>
      </c>
      <c r="BJ15" s="70"/>
      <c r="BK15" s="62">
        <f t="shared" si="1"/>
        <v>0</v>
      </c>
      <c r="BL15" s="63"/>
      <c r="BM15" s="71"/>
      <c r="BN15" s="71"/>
      <c r="BO15" s="71"/>
      <c r="BP15" s="101"/>
      <c r="BQ15" s="101"/>
      <c r="BR15" s="101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</row>
    <row r="16" spans="2:89" s="96" customFormat="1" ht="30" customHeight="1">
      <c r="B16" s="51" t="s">
        <v>94</v>
      </c>
      <c r="C16" s="73" t="s">
        <v>74</v>
      </c>
      <c r="D16" s="53" t="s">
        <v>94</v>
      </c>
      <c r="E16" s="74" t="s">
        <v>95</v>
      </c>
      <c r="F16" s="66"/>
      <c r="G16" s="66"/>
      <c r="H16" s="66"/>
      <c r="I16" s="66"/>
      <c r="J16" s="66"/>
      <c r="K16" s="66"/>
      <c r="L16" s="66"/>
      <c r="M16" s="66"/>
      <c r="N16" s="67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8"/>
      <c r="AS16" s="66"/>
      <c r="AT16" s="66"/>
      <c r="AU16" s="66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55">
        <v>0</v>
      </c>
      <c r="BG16" s="70"/>
      <c r="BH16" s="63">
        <f t="shared" si="0"/>
        <v>0</v>
      </c>
      <c r="BI16" s="63">
        <v>1</v>
      </c>
      <c r="BJ16" s="70"/>
      <c r="BK16" s="64">
        <f t="shared" si="1"/>
        <v>-1</v>
      </c>
      <c r="BL16" s="63"/>
      <c r="BM16" s="71"/>
      <c r="BN16" s="71"/>
      <c r="BO16" s="71"/>
      <c r="BP16" s="101"/>
      <c r="BQ16" s="101"/>
      <c r="BR16" s="101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</row>
    <row r="17" spans="2:89" s="96" customFormat="1" ht="21" customHeight="1">
      <c r="B17" s="51" t="s">
        <v>96</v>
      </c>
      <c r="C17" s="73" t="s">
        <v>74</v>
      </c>
      <c r="D17" s="53" t="s">
        <v>96</v>
      </c>
      <c r="E17" s="54" t="s">
        <v>97</v>
      </c>
      <c r="F17" s="66"/>
      <c r="G17" s="66"/>
      <c r="H17" s="66"/>
      <c r="I17" s="66"/>
      <c r="J17" s="66"/>
      <c r="K17" s="66"/>
      <c r="L17" s="66"/>
      <c r="M17" s="66"/>
      <c r="N17" s="67"/>
      <c r="O17" s="66"/>
      <c r="P17" s="66"/>
      <c r="Q17" s="66"/>
      <c r="R17" s="66"/>
      <c r="S17" s="66"/>
      <c r="T17" s="66"/>
      <c r="U17" s="66">
        <v>1</v>
      </c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8"/>
      <c r="AS17" s="66"/>
      <c r="AT17" s="66"/>
      <c r="AU17" s="66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55"/>
      <c r="BG17" s="70"/>
      <c r="BH17" s="63">
        <f t="shared" si="0"/>
        <v>1</v>
      </c>
      <c r="BI17" s="63">
        <v>1</v>
      </c>
      <c r="BJ17" s="70"/>
      <c r="BK17" s="62">
        <f t="shared" si="1"/>
        <v>0</v>
      </c>
      <c r="BL17" s="63"/>
      <c r="BM17" s="71"/>
      <c r="BN17" s="71"/>
      <c r="BO17" s="71"/>
      <c r="BP17" s="101"/>
      <c r="BQ17" s="101"/>
      <c r="BR17" s="101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</row>
    <row r="18" spans="2:89" s="96" customFormat="1" ht="21" customHeight="1">
      <c r="B18" s="51" t="s">
        <v>98</v>
      </c>
      <c r="C18" s="73" t="s">
        <v>74</v>
      </c>
      <c r="D18" s="53" t="s">
        <v>98</v>
      </c>
      <c r="E18" s="54" t="s">
        <v>99</v>
      </c>
      <c r="F18" s="66"/>
      <c r="G18" s="66"/>
      <c r="H18" s="66"/>
      <c r="I18" s="66"/>
      <c r="J18" s="66"/>
      <c r="K18" s="66"/>
      <c r="L18" s="66"/>
      <c r="M18" s="66"/>
      <c r="N18" s="67"/>
      <c r="O18" s="66"/>
      <c r="P18" s="66"/>
      <c r="Q18" s="66"/>
      <c r="R18" s="66"/>
      <c r="S18" s="66"/>
      <c r="T18" s="66"/>
      <c r="U18" s="66"/>
      <c r="V18" s="66">
        <v>1</v>
      </c>
      <c r="W18" s="66"/>
      <c r="X18" s="66"/>
      <c r="Y18" s="66"/>
      <c r="Z18" s="66"/>
      <c r="AA18" s="66"/>
      <c r="AB18" s="66">
        <v>1</v>
      </c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8"/>
      <c r="AS18" s="66"/>
      <c r="AT18" s="66"/>
      <c r="AU18" s="66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55"/>
      <c r="BG18" s="70"/>
      <c r="BH18" s="63">
        <f t="shared" si="0"/>
        <v>2</v>
      </c>
      <c r="BI18" s="63">
        <v>2</v>
      </c>
      <c r="BJ18" s="70"/>
      <c r="BK18" s="62">
        <f t="shared" si="1"/>
        <v>0</v>
      </c>
      <c r="BL18" s="63"/>
      <c r="BM18" s="71"/>
      <c r="BN18" s="71"/>
      <c r="BO18" s="71"/>
      <c r="BP18" s="101"/>
      <c r="BQ18" s="101"/>
      <c r="BR18" s="101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</row>
    <row r="19" spans="2:89" s="96" customFormat="1" ht="21" customHeight="1">
      <c r="B19" s="51" t="s">
        <v>100</v>
      </c>
      <c r="C19" s="73" t="s">
        <v>74</v>
      </c>
      <c r="D19" s="53" t="s">
        <v>100</v>
      </c>
      <c r="E19" s="54" t="s">
        <v>101</v>
      </c>
      <c r="F19" s="66"/>
      <c r="G19" s="66"/>
      <c r="H19" s="66"/>
      <c r="I19" s="66"/>
      <c r="J19" s="66"/>
      <c r="K19" s="66"/>
      <c r="L19" s="66"/>
      <c r="M19" s="66"/>
      <c r="N19" s="67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>
        <v>1</v>
      </c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8"/>
      <c r="AS19" s="66"/>
      <c r="AT19" s="66"/>
      <c r="AU19" s="66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55"/>
      <c r="BG19" s="70"/>
      <c r="BH19" s="63">
        <f t="shared" si="0"/>
        <v>1</v>
      </c>
      <c r="BI19" s="63">
        <v>1</v>
      </c>
      <c r="BJ19" s="70"/>
      <c r="BK19" s="62">
        <f t="shared" si="1"/>
        <v>0</v>
      </c>
      <c r="BL19" s="63"/>
      <c r="BM19" s="71"/>
      <c r="BN19" s="71"/>
      <c r="BO19" s="71"/>
      <c r="BP19" s="101"/>
      <c r="BQ19" s="101"/>
      <c r="BR19" s="101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</row>
    <row r="20" spans="2:89" s="96" customFormat="1" ht="21" customHeight="1">
      <c r="B20" s="51" t="s">
        <v>102</v>
      </c>
      <c r="C20" s="73" t="s">
        <v>74</v>
      </c>
      <c r="D20" s="53" t="s">
        <v>102</v>
      </c>
      <c r="E20" s="54" t="s">
        <v>103</v>
      </c>
      <c r="F20" s="66"/>
      <c r="G20" s="66"/>
      <c r="H20" s="66"/>
      <c r="I20" s="66"/>
      <c r="J20" s="66"/>
      <c r="K20" s="66"/>
      <c r="L20" s="66"/>
      <c r="M20" s="66"/>
      <c r="N20" s="67"/>
      <c r="O20" s="66"/>
      <c r="P20" s="66"/>
      <c r="Q20" s="66"/>
      <c r="R20" s="66"/>
      <c r="S20" s="66"/>
      <c r="T20" s="66"/>
      <c r="U20" s="66">
        <v>1</v>
      </c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8"/>
      <c r="AS20" s="66"/>
      <c r="AT20" s="66"/>
      <c r="AU20" s="66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55"/>
      <c r="BG20" s="70"/>
      <c r="BH20" s="63">
        <f t="shared" si="0"/>
        <v>1</v>
      </c>
      <c r="BI20" s="63">
        <v>1</v>
      </c>
      <c r="BJ20" s="70"/>
      <c r="BK20" s="62">
        <f t="shared" si="1"/>
        <v>0</v>
      </c>
      <c r="BL20" s="63"/>
      <c r="BM20" s="71"/>
      <c r="BN20" s="71"/>
      <c r="BO20" s="71"/>
      <c r="BP20" s="101"/>
      <c r="BQ20" s="101"/>
      <c r="BR20" s="101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</row>
    <row r="21" spans="2:89" s="96" customFormat="1" ht="21" customHeight="1">
      <c r="B21" s="51" t="s">
        <v>104</v>
      </c>
      <c r="C21" s="73" t="s">
        <v>74</v>
      </c>
      <c r="D21" s="53" t="s">
        <v>104</v>
      </c>
      <c r="E21" s="54" t="s">
        <v>105</v>
      </c>
      <c r="F21" s="66"/>
      <c r="G21" s="66"/>
      <c r="H21" s="66"/>
      <c r="I21" s="66"/>
      <c r="J21" s="66"/>
      <c r="K21" s="66"/>
      <c r="L21" s="66"/>
      <c r="M21" s="66"/>
      <c r="N21" s="67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>
        <v>1</v>
      </c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8"/>
      <c r="AS21" s="66"/>
      <c r="AT21" s="66"/>
      <c r="AU21" s="66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55"/>
      <c r="BG21" s="70"/>
      <c r="BH21" s="63">
        <f t="shared" si="0"/>
        <v>1</v>
      </c>
      <c r="BI21" s="63">
        <v>1</v>
      </c>
      <c r="BJ21" s="70"/>
      <c r="BK21" s="62">
        <f t="shared" si="1"/>
        <v>0</v>
      </c>
      <c r="BL21" s="63"/>
      <c r="BM21" s="71"/>
      <c r="BN21" s="71"/>
      <c r="BO21" s="71"/>
      <c r="BP21" s="101"/>
      <c r="BQ21" s="101"/>
      <c r="BR21" s="101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</row>
    <row r="22" spans="2:89" s="96" customFormat="1" ht="21" customHeight="1">
      <c r="B22" s="51" t="s">
        <v>106</v>
      </c>
      <c r="C22" s="52" t="s">
        <v>74</v>
      </c>
      <c r="D22" s="53" t="s">
        <v>106</v>
      </c>
      <c r="E22" s="54" t="s">
        <v>107</v>
      </c>
      <c r="F22" s="66"/>
      <c r="G22" s="66"/>
      <c r="H22" s="66"/>
      <c r="I22" s="66"/>
      <c r="J22" s="66"/>
      <c r="K22" s="66"/>
      <c r="L22" s="66"/>
      <c r="M22" s="66"/>
      <c r="N22" s="67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>
        <v>1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8"/>
      <c r="AS22" s="66"/>
      <c r="AT22" s="66"/>
      <c r="AU22" s="66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55"/>
      <c r="BG22" s="70"/>
      <c r="BH22" s="63">
        <f t="shared" si="0"/>
        <v>1</v>
      </c>
      <c r="BI22" s="63">
        <v>1</v>
      </c>
      <c r="BJ22" s="70"/>
      <c r="BK22" s="62">
        <f t="shared" si="1"/>
        <v>0</v>
      </c>
      <c r="BL22" s="63"/>
      <c r="BM22" s="71"/>
      <c r="BN22" s="71"/>
      <c r="BO22" s="71"/>
      <c r="BP22" s="101"/>
      <c r="BQ22" s="101"/>
      <c r="BR22" s="101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</row>
    <row r="23" spans="2:89" s="96" customFormat="1" ht="30" customHeight="1">
      <c r="B23" s="51" t="s">
        <v>108</v>
      </c>
      <c r="C23" s="73" t="s">
        <v>74</v>
      </c>
      <c r="D23" s="53" t="s">
        <v>108</v>
      </c>
      <c r="E23" s="74" t="s">
        <v>109</v>
      </c>
      <c r="F23" s="66"/>
      <c r="G23" s="66"/>
      <c r="H23" s="66"/>
      <c r="I23" s="66"/>
      <c r="J23" s="66"/>
      <c r="K23" s="66"/>
      <c r="L23" s="66"/>
      <c r="M23" s="66"/>
      <c r="N23" s="67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>
        <v>1</v>
      </c>
      <c r="AQ23" s="66"/>
      <c r="AR23" s="68"/>
      <c r="AS23" s="66"/>
      <c r="AT23" s="66"/>
      <c r="AU23" s="66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55"/>
      <c r="BG23" s="70"/>
      <c r="BH23" s="63">
        <f t="shared" si="0"/>
        <v>1</v>
      </c>
      <c r="BI23" s="63">
        <v>1</v>
      </c>
      <c r="BJ23" s="70"/>
      <c r="BK23" s="62">
        <f t="shared" si="1"/>
        <v>0</v>
      </c>
      <c r="BL23" s="63"/>
      <c r="BM23" s="71"/>
      <c r="BN23" s="71"/>
      <c r="BO23" s="71"/>
      <c r="BP23" s="101"/>
      <c r="BQ23" s="101"/>
      <c r="BR23" s="101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</row>
    <row r="24" spans="2:89" s="96" customFormat="1" ht="30" customHeight="1">
      <c r="B24" s="51" t="s">
        <v>110</v>
      </c>
      <c r="C24" s="73" t="s">
        <v>74</v>
      </c>
      <c r="D24" s="53" t="s">
        <v>110</v>
      </c>
      <c r="E24" s="74" t="s">
        <v>111</v>
      </c>
      <c r="F24" s="66"/>
      <c r="G24" s="66"/>
      <c r="H24" s="66"/>
      <c r="I24" s="66"/>
      <c r="J24" s="66"/>
      <c r="K24" s="66"/>
      <c r="L24" s="66"/>
      <c r="M24" s="66"/>
      <c r="N24" s="67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>
        <v>1</v>
      </c>
      <c r="AQ24" s="66"/>
      <c r="AR24" s="68"/>
      <c r="AS24" s="66"/>
      <c r="AT24" s="66"/>
      <c r="AU24" s="66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55"/>
      <c r="BG24" s="70"/>
      <c r="BH24" s="63">
        <f t="shared" si="0"/>
        <v>1</v>
      </c>
      <c r="BI24" s="63">
        <v>1</v>
      </c>
      <c r="BJ24" s="70"/>
      <c r="BK24" s="62">
        <f t="shared" si="1"/>
        <v>0</v>
      </c>
      <c r="BL24" s="63"/>
      <c r="BM24" s="71"/>
      <c r="BN24" s="71"/>
      <c r="BO24" s="71"/>
      <c r="BP24" s="101"/>
      <c r="BQ24" s="101"/>
      <c r="BR24" s="101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</row>
    <row r="25" spans="2:89" s="96" customFormat="1" ht="21" customHeight="1">
      <c r="B25" s="51" t="s">
        <v>112</v>
      </c>
      <c r="C25" s="73" t="s">
        <v>74</v>
      </c>
      <c r="D25" s="53" t="s">
        <v>112</v>
      </c>
      <c r="E25" s="54" t="s">
        <v>113</v>
      </c>
      <c r="F25" s="66"/>
      <c r="G25" s="66"/>
      <c r="H25" s="66"/>
      <c r="I25" s="66"/>
      <c r="J25" s="66"/>
      <c r="K25" s="66"/>
      <c r="L25" s="66"/>
      <c r="M25" s="66"/>
      <c r="N25" s="67"/>
      <c r="O25" s="66"/>
      <c r="P25" s="66"/>
      <c r="Q25" s="66"/>
      <c r="R25" s="66"/>
      <c r="S25" s="66"/>
      <c r="T25" s="66">
        <v>1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8"/>
      <c r="AS25" s="66"/>
      <c r="AT25" s="66"/>
      <c r="AU25" s="66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55"/>
      <c r="BG25" s="70"/>
      <c r="BH25" s="63">
        <f t="shared" si="0"/>
        <v>1</v>
      </c>
      <c r="BI25" s="63">
        <v>1</v>
      </c>
      <c r="BJ25" s="70"/>
      <c r="BK25" s="62">
        <f t="shared" si="1"/>
        <v>0</v>
      </c>
      <c r="BL25" s="63"/>
      <c r="BM25" s="71"/>
      <c r="BN25" s="71"/>
      <c r="BO25" s="71"/>
      <c r="BP25" s="105"/>
      <c r="BQ25" s="105"/>
      <c r="BR25" s="105"/>
      <c r="BS25" s="102"/>
      <c r="BT25" s="102"/>
      <c r="BU25" s="102"/>
      <c r="BV25" s="102"/>
      <c r="BW25" s="102"/>
      <c r="BX25" s="106"/>
      <c r="BY25" s="106"/>
      <c r="BZ25" s="106"/>
      <c r="CA25" s="106"/>
      <c r="CB25" s="106"/>
      <c r="CC25" s="106"/>
      <c r="CD25" s="106"/>
      <c r="CE25" s="106"/>
      <c r="CF25" s="106"/>
      <c r="CG25" s="106"/>
      <c r="CH25" s="106"/>
      <c r="CI25" s="106"/>
      <c r="CJ25" s="106"/>
      <c r="CK25" s="106"/>
    </row>
    <row r="26" spans="2:89" s="96" customFormat="1" ht="21" customHeight="1">
      <c r="B26" s="51" t="s">
        <v>114</v>
      </c>
      <c r="C26" s="73" t="s">
        <v>74</v>
      </c>
      <c r="D26" s="53" t="s">
        <v>114</v>
      </c>
      <c r="E26" s="74" t="s">
        <v>115</v>
      </c>
      <c r="F26" s="66">
        <v>1</v>
      </c>
      <c r="G26" s="66">
        <v>1</v>
      </c>
      <c r="H26" s="66">
        <v>1</v>
      </c>
      <c r="I26" s="66">
        <v>1</v>
      </c>
      <c r="J26" s="66">
        <v>1</v>
      </c>
      <c r="K26" s="66">
        <v>1</v>
      </c>
      <c r="L26" s="66">
        <v>1</v>
      </c>
      <c r="M26" s="66">
        <v>1</v>
      </c>
      <c r="N26" s="67">
        <v>1</v>
      </c>
      <c r="O26" s="66">
        <v>1</v>
      </c>
      <c r="P26" s="66"/>
      <c r="Q26" s="66"/>
      <c r="R26" s="66"/>
      <c r="S26" s="66">
        <v>2</v>
      </c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>
        <v>1</v>
      </c>
      <c r="AR26" s="68"/>
      <c r="AS26" s="66"/>
      <c r="AT26" s="66">
        <v>1</v>
      </c>
      <c r="AU26" s="66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55"/>
      <c r="BG26" s="70"/>
      <c r="BH26" s="63">
        <f t="shared" si="0"/>
        <v>14</v>
      </c>
      <c r="BI26" s="63">
        <v>13</v>
      </c>
      <c r="BJ26" s="70"/>
      <c r="BK26" s="62">
        <f t="shared" si="1"/>
        <v>1</v>
      </c>
      <c r="BL26" s="63"/>
      <c r="BM26" s="71"/>
      <c r="BN26" s="71"/>
      <c r="BO26" s="71"/>
      <c r="BP26" s="105"/>
      <c r="BQ26" s="105"/>
      <c r="BR26" s="105"/>
      <c r="BS26" s="102"/>
      <c r="BT26" s="102"/>
      <c r="BU26" s="102"/>
      <c r="BV26" s="102"/>
      <c r="BW26" s="102"/>
      <c r="BX26" s="106"/>
      <c r="BY26" s="106"/>
      <c r="BZ26" s="106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6"/>
    </row>
    <row r="27" spans="2:89" s="96" customFormat="1" ht="21" customHeight="1">
      <c r="B27" s="51" t="s">
        <v>116</v>
      </c>
      <c r="C27" s="73" t="s">
        <v>74</v>
      </c>
      <c r="D27" s="53" t="s">
        <v>116</v>
      </c>
      <c r="E27" s="54" t="s">
        <v>117</v>
      </c>
      <c r="F27" s="66"/>
      <c r="G27" s="66"/>
      <c r="H27" s="66"/>
      <c r="I27" s="66"/>
      <c r="J27" s="66"/>
      <c r="K27" s="66"/>
      <c r="L27" s="66"/>
      <c r="M27" s="66"/>
      <c r="N27" s="67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>
        <v>1</v>
      </c>
      <c r="AO27" s="66"/>
      <c r="AP27" s="66"/>
      <c r="AQ27" s="66">
        <v>1</v>
      </c>
      <c r="AR27" s="68"/>
      <c r="AS27" s="66"/>
      <c r="AT27" s="66"/>
      <c r="AU27" s="66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55"/>
      <c r="BG27" s="70"/>
      <c r="BH27" s="63">
        <f t="shared" si="0"/>
        <v>2</v>
      </c>
      <c r="BI27" s="63">
        <v>2</v>
      </c>
      <c r="BJ27" s="70"/>
      <c r="BK27" s="62">
        <f t="shared" si="1"/>
        <v>0</v>
      </c>
      <c r="BL27" s="63"/>
      <c r="BM27" s="71"/>
      <c r="BN27" s="71"/>
      <c r="BO27" s="71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</row>
    <row r="28" spans="2:89" s="96" customFormat="1" ht="21" customHeight="1">
      <c r="B28" s="51" t="s">
        <v>118</v>
      </c>
      <c r="C28" s="73" t="s">
        <v>74</v>
      </c>
      <c r="D28" s="53" t="s">
        <v>118</v>
      </c>
      <c r="E28" s="54" t="s">
        <v>119</v>
      </c>
      <c r="F28" s="66"/>
      <c r="G28" s="66"/>
      <c r="H28" s="66"/>
      <c r="I28" s="66"/>
      <c r="J28" s="66"/>
      <c r="K28" s="66"/>
      <c r="L28" s="66"/>
      <c r="M28" s="66"/>
      <c r="N28" s="67"/>
      <c r="O28" s="66"/>
      <c r="P28" s="66"/>
      <c r="Q28" s="66"/>
      <c r="R28" s="66"/>
      <c r="S28" s="66"/>
      <c r="T28" s="66"/>
      <c r="U28" s="66"/>
      <c r="V28" s="66"/>
      <c r="W28" s="66"/>
      <c r="X28" s="66">
        <v>1</v>
      </c>
      <c r="Y28" s="66"/>
      <c r="Z28" s="66"/>
      <c r="AA28" s="66">
        <v>1</v>
      </c>
      <c r="AB28" s="66"/>
      <c r="AC28" s="66">
        <v>1</v>
      </c>
      <c r="AD28" s="66"/>
      <c r="AE28" s="66"/>
      <c r="AF28" s="66"/>
      <c r="AG28" s="66">
        <v>1</v>
      </c>
      <c r="AH28" s="66">
        <v>2</v>
      </c>
      <c r="AI28" s="66">
        <v>1</v>
      </c>
      <c r="AJ28" s="66"/>
      <c r="AK28" s="66">
        <v>1</v>
      </c>
      <c r="AL28" s="66"/>
      <c r="AM28" s="66">
        <v>1</v>
      </c>
      <c r="AN28" s="66"/>
      <c r="AO28" s="66"/>
      <c r="AP28" s="66"/>
      <c r="AQ28" s="66"/>
      <c r="AR28" s="68"/>
      <c r="AS28" s="66">
        <v>1</v>
      </c>
      <c r="AT28" s="66"/>
      <c r="AU28" s="66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55"/>
      <c r="BG28" s="70"/>
      <c r="BH28" s="63">
        <f t="shared" si="0"/>
        <v>10</v>
      </c>
      <c r="BI28" s="63">
        <v>10</v>
      </c>
      <c r="BJ28" s="70"/>
      <c r="BK28" s="62">
        <f t="shared" si="1"/>
        <v>0</v>
      </c>
      <c r="BL28" s="63"/>
      <c r="BM28" s="71"/>
      <c r="BN28" s="71"/>
      <c r="BO28" s="71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</row>
    <row r="29" spans="2:89" s="96" customFormat="1" ht="21" customHeight="1">
      <c r="B29" s="51" t="s">
        <v>120</v>
      </c>
      <c r="C29" s="73" t="s">
        <v>74</v>
      </c>
      <c r="D29" s="53" t="s">
        <v>120</v>
      </c>
      <c r="E29" s="54" t="s">
        <v>121</v>
      </c>
      <c r="F29" s="66"/>
      <c r="G29" s="66"/>
      <c r="H29" s="66"/>
      <c r="I29" s="66"/>
      <c r="J29" s="66"/>
      <c r="K29" s="66"/>
      <c r="L29" s="66"/>
      <c r="M29" s="66"/>
      <c r="N29" s="67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8"/>
      <c r="AS29" s="66"/>
      <c r="AT29" s="66"/>
      <c r="AU29" s="66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55"/>
      <c r="BG29" s="70"/>
      <c r="BH29" s="63">
        <f t="shared" si="0"/>
        <v>0</v>
      </c>
      <c r="BI29" s="63">
        <v>2</v>
      </c>
      <c r="BJ29" s="70"/>
      <c r="BK29" s="62">
        <f t="shared" si="1"/>
        <v>-2</v>
      </c>
      <c r="BL29" s="63"/>
      <c r="BM29" s="71"/>
      <c r="BN29" s="71"/>
      <c r="BO29" s="71"/>
    </row>
    <row r="30" spans="2:89" s="96" customFormat="1" ht="22.5" customHeight="1">
      <c r="B30" s="51" t="s">
        <v>122</v>
      </c>
      <c r="C30" s="73" t="s">
        <v>74</v>
      </c>
      <c r="D30" s="53" t="s">
        <v>122</v>
      </c>
      <c r="E30" s="54" t="s">
        <v>123</v>
      </c>
      <c r="F30" s="66"/>
      <c r="G30" s="66"/>
      <c r="H30" s="66"/>
      <c r="I30" s="66"/>
      <c r="J30" s="66"/>
      <c r="K30" s="66"/>
      <c r="L30" s="66"/>
      <c r="M30" s="66"/>
      <c r="N30" s="67"/>
      <c r="O30" s="66"/>
      <c r="P30" s="66"/>
      <c r="Q30" s="66">
        <v>1</v>
      </c>
      <c r="R30" s="66"/>
      <c r="S30" s="66"/>
      <c r="T30" s="66"/>
      <c r="U30" s="66"/>
      <c r="V30" s="66"/>
      <c r="W30" s="66"/>
      <c r="X30" s="66"/>
      <c r="Y30" s="66">
        <v>1</v>
      </c>
      <c r="Z30" s="66">
        <v>1</v>
      </c>
      <c r="AA30" s="66"/>
      <c r="AB30" s="66"/>
      <c r="AC30" s="66"/>
      <c r="AD30" s="66"/>
      <c r="AE30" s="66"/>
      <c r="AF30" s="66"/>
      <c r="AG30" s="66"/>
      <c r="AH30" s="66">
        <v>1</v>
      </c>
      <c r="AI30" s="66"/>
      <c r="AJ30" s="66"/>
      <c r="AK30" s="66"/>
      <c r="AL30" s="75"/>
      <c r="AM30" s="66"/>
      <c r="AN30" s="66"/>
      <c r="AO30" s="66"/>
      <c r="AP30" s="66"/>
      <c r="AQ30" s="66"/>
      <c r="AR30" s="68"/>
      <c r="AS30" s="66"/>
      <c r="AT30" s="66"/>
      <c r="AU30" s="66"/>
      <c r="AV30" s="69"/>
      <c r="AW30" s="69"/>
      <c r="AX30" s="69">
        <v>2</v>
      </c>
      <c r="AY30" s="69">
        <v>2</v>
      </c>
      <c r="AZ30" s="69"/>
      <c r="BA30" s="69"/>
      <c r="BB30" s="69"/>
      <c r="BC30" s="69">
        <v>1</v>
      </c>
      <c r="BD30" s="69"/>
      <c r="BE30" s="69"/>
      <c r="BF30" s="55"/>
      <c r="BG30" s="70"/>
      <c r="BH30" s="63">
        <f t="shared" si="0"/>
        <v>9</v>
      </c>
      <c r="BI30" s="63">
        <v>8</v>
      </c>
      <c r="BJ30" s="70"/>
      <c r="BK30" s="62">
        <f t="shared" si="1"/>
        <v>1</v>
      </c>
      <c r="BL30" s="63"/>
      <c r="BM30" s="71"/>
      <c r="BN30" s="71"/>
      <c r="BO30" s="71"/>
    </row>
    <row r="31" spans="2:89" s="96" customFormat="1" ht="21" customHeight="1">
      <c r="B31" s="51" t="s">
        <v>124</v>
      </c>
      <c r="C31" s="73" t="s">
        <v>74</v>
      </c>
      <c r="D31" s="53" t="s">
        <v>124</v>
      </c>
      <c r="E31" s="54" t="s">
        <v>125</v>
      </c>
      <c r="F31" s="66">
        <v>1</v>
      </c>
      <c r="G31" s="66">
        <v>1</v>
      </c>
      <c r="H31" s="66">
        <v>1</v>
      </c>
      <c r="I31" s="66"/>
      <c r="J31" s="66">
        <v>1</v>
      </c>
      <c r="K31" s="66">
        <v>1</v>
      </c>
      <c r="L31" s="66">
        <v>1</v>
      </c>
      <c r="M31" s="66">
        <v>2</v>
      </c>
      <c r="N31" s="67">
        <v>1</v>
      </c>
      <c r="O31" s="66"/>
      <c r="P31" s="66"/>
      <c r="Q31" s="66"/>
      <c r="R31" s="66"/>
      <c r="S31" s="66"/>
      <c r="T31" s="66"/>
      <c r="U31" s="66">
        <v>1</v>
      </c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75"/>
      <c r="AM31" s="66"/>
      <c r="AN31" s="66"/>
      <c r="AO31" s="66"/>
      <c r="AP31" s="66"/>
      <c r="AQ31" s="66"/>
      <c r="AR31" s="68"/>
      <c r="AS31" s="66"/>
      <c r="AT31" s="66"/>
      <c r="AU31" s="66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55"/>
      <c r="BG31" s="70">
        <v>1</v>
      </c>
      <c r="BH31" s="63">
        <f t="shared" si="0"/>
        <v>11</v>
      </c>
      <c r="BI31" s="63">
        <v>12</v>
      </c>
      <c r="BJ31" s="70"/>
      <c r="BK31" s="64">
        <f t="shared" si="1"/>
        <v>-1</v>
      </c>
      <c r="BL31" s="63"/>
      <c r="BM31" s="71"/>
      <c r="BN31" s="71"/>
      <c r="BO31" s="71"/>
    </row>
    <row r="32" spans="2:89" ht="21" customHeight="1">
      <c r="B32" s="51" t="s">
        <v>126</v>
      </c>
      <c r="C32" s="73" t="s">
        <v>74</v>
      </c>
      <c r="D32" s="53" t="s">
        <v>126</v>
      </c>
      <c r="E32" s="54" t="s">
        <v>127</v>
      </c>
      <c r="F32" s="66"/>
      <c r="G32" s="66"/>
      <c r="H32" s="66"/>
      <c r="I32" s="66"/>
      <c r="J32" s="66"/>
      <c r="K32" s="66"/>
      <c r="L32" s="66"/>
      <c r="M32" s="66"/>
      <c r="N32" s="67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8"/>
      <c r="AS32" s="66"/>
      <c r="AT32" s="66"/>
      <c r="AU32" s="66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55"/>
      <c r="BG32" s="70"/>
      <c r="BH32" s="63">
        <f t="shared" si="0"/>
        <v>0</v>
      </c>
      <c r="BI32" s="63">
        <v>1</v>
      </c>
      <c r="BJ32" s="70"/>
      <c r="BK32" s="64">
        <f t="shared" si="1"/>
        <v>-1</v>
      </c>
      <c r="BL32" s="63"/>
      <c r="BM32" s="71"/>
      <c r="BN32" s="65"/>
      <c r="BO32" s="65"/>
    </row>
    <row r="33" spans="2:67" s="90" customFormat="1" ht="21" customHeight="1">
      <c r="B33" s="51" t="s">
        <v>128</v>
      </c>
      <c r="C33" s="73" t="s">
        <v>74</v>
      </c>
      <c r="D33" s="53" t="s">
        <v>128</v>
      </c>
      <c r="E33" s="54" t="s">
        <v>129</v>
      </c>
      <c r="F33" s="55"/>
      <c r="G33" s="66"/>
      <c r="H33" s="66"/>
      <c r="I33" s="66"/>
      <c r="J33" s="66"/>
      <c r="K33" s="66"/>
      <c r="L33" s="66"/>
      <c r="M33" s="66"/>
      <c r="N33" s="67"/>
      <c r="O33" s="66"/>
      <c r="P33" s="66">
        <v>1</v>
      </c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75"/>
      <c r="AM33" s="66"/>
      <c r="AN33" s="66"/>
      <c r="AO33" s="66"/>
      <c r="AP33" s="66"/>
      <c r="AQ33" s="66"/>
      <c r="AR33" s="68"/>
      <c r="AS33" s="66"/>
      <c r="AT33" s="66"/>
      <c r="AU33" s="66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55"/>
      <c r="BG33" s="70"/>
      <c r="BH33" s="63">
        <f t="shared" si="0"/>
        <v>1</v>
      </c>
      <c r="BI33" s="63">
        <v>2</v>
      </c>
      <c r="BJ33" s="70"/>
      <c r="BK33" s="64">
        <f t="shared" si="1"/>
        <v>-1</v>
      </c>
      <c r="BL33" s="63"/>
      <c r="BM33" s="71"/>
      <c r="BN33" s="65"/>
      <c r="BO33" s="65"/>
    </row>
    <row r="34" spans="2:67" ht="21" customHeight="1">
      <c r="B34" s="51" t="s">
        <v>130</v>
      </c>
      <c r="C34" s="73" t="s">
        <v>74</v>
      </c>
      <c r="D34" s="53" t="s">
        <v>130</v>
      </c>
      <c r="E34" s="74" t="s">
        <v>131</v>
      </c>
      <c r="F34" s="66"/>
      <c r="G34" s="66"/>
      <c r="H34" s="66"/>
      <c r="I34" s="66"/>
      <c r="J34" s="66"/>
      <c r="K34" s="66"/>
      <c r="L34" s="66"/>
      <c r="M34" s="66"/>
      <c r="N34" s="67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>
        <v>1</v>
      </c>
      <c r="AF34" s="66"/>
      <c r="AG34" s="66"/>
      <c r="AH34" s="66"/>
      <c r="AI34" s="66">
        <v>1</v>
      </c>
      <c r="AJ34" s="66"/>
      <c r="AK34" s="66"/>
      <c r="AL34" s="66"/>
      <c r="AM34" s="66"/>
      <c r="AN34" s="66"/>
      <c r="AO34" s="66"/>
      <c r="AP34" s="66"/>
      <c r="AQ34" s="66"/>
      <c r="AR34" s="68"/>
      <c r="AS34" s="66"/>
      <c r="AT34" s="66"/>
      <c r="AU34" s="66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55"/>
      <c r="BG34" s="70"/>
      <c r="BH34" s="63">
        <f t="shared" si="0"/>
        <v>2</v>
      </c>
      <c r="BI34" s="63">
        <v>2</v>
      </c>
      <c r="BJ34" s="70"/>
      <c r="BK34" s="62">
        <f t="shared" si="1"/>
        <v>0</v>
      </c>
      <c r="BL34" s="63"/>
      <c r="BM34" s="71"/>
      <c r="BN34" s="71"/>
      <c r="BO34" s="71"/>
    </row>
    <row r="35" spans="2:67" ht="21" customHeight="1">
      <c r="B35" s="51" t="s">
        <v>132</v>
      </c>
      <c r="C35" s="73" t="s">
        <v>74</v>
      </c>
      <c r="D35" s="53" t="s">
        <v>132</v>
      </c>
      <c r="E35" s="74" t="s">
        <v>133</v>
      </c>
      <c r="F35" s="55"/>
      <c r="G35" s="55"/>
      <c r="H35" s="55"/>
      <c r="I35" s="55"/>
      <c r="J35" s="55"/>
      <c r="K35" s="55"/>
      <c r="L35" s="55"/>
      <c r="M35" s="55"/>
      <c r="N35" s="56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>
        <v>1</v>
      </c>
      <c r="AB35" s="55">
        <v>1</v>
      </c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76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70"/>
      <c r="BH35" s="63">
        <f t="shared" si="0"/>
        <v>2</v>
      </c>
      <c r="BI35" s="63">
        <v>2</v>
      </c>
      <c r="BJ35" s="70"/>
      <c r="BK35" s="62">
        <f t="shared" si="1"/>
        <v>0</v>
      </c>
      <c r="BL35" s="63"/>
      <c r="BM35" s="71"/>
      <c r="BN35" s="65"/>
      <c r="BO35" s="65"/>
    </row>
    <row r="36" spans="2:67" ht="18.95" customHeight="1">
      <c r="B36" s="77"/>
      <c r="C36" s="77"/>
      <c r="D36" s="77"/>
      <c r="E36" s="77"/>
      <c r="F36" s="78"/>
      <c r="G36" s="77"/>
      <c r="H36" s="77"/>
      <c r="I36" s="77"/>
      <c r="J36" s="77"/>
      <c r="K36" s="77"/>
      <c r="L36" s="77"/>
      <c r="M36" s="77"/>
      <c r="N36" s="79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80"/>
      <c r="BH36" s="81"/>
      <c r="BI36" s="81"/>
      <c r="BJ36" s="80"/>
      <c r="BK36" s="80"/>
      <c r="BL36" s="82"/>
      <c r="BM36" s="71"/>
      <c r="BN36" s="71"/>
      <c r="BO36" s="71"/>
    </row>
    <row r="37" spans="2:67" ht="18.95" customHeight="1">
      <c r="B37" s="80"/>
      <c r="C37" s="80"/>
      <c r="D37" s="80"/>
      <c r="E37" s="80"/>
      <c r="F37" s="83"/>
      <c r="G37" s="80"/>
      <c r="H37" s="80"/>
      <c r="I37" s="80"/>
      <c r="J37" s="80"/>
      <c r="K37" s="80"/>
      <c r="L37" s="80"/>
      <c r="M37" s="80"/>
      <c r="N37" s="84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1"/>
      <c r="BI37" s="81"/>
      <c r="BJ37" s="80"/>
      <c r="BK37" s="80"/>
      <c r="BM37" s="85"/>
      <c r="BN37" s="85"/>
      <c r="BO37" s="85"/>
    </row>
    <row r="38" spans="2:67">
      <c r="B38" s="80"/>
      <c r="C38" s="80"/>
      <c r="D38" s="80"/>
      <c r="E38" s="80"/>
      <c r="F38" s="83"/>
      <c r="G38" s="80"/>
      <c r="H38" s="80"/>
      <c r="I38" s="80"/>
      <c r="J38" s="80"/>
      <c r="K38" s="80"/>
      <c r="L38" s="80"/>
      <c r="M38" s="80"/>
      <c r="N38" s="84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1"/>
      <c r="BI38" s="81"/>
      <c r="BJ38" s="80"/>
      <c r="BK38" s="80"/>
    </row>
    <row r="39" spans="2:67">
      <c r="B39" s="80"/>
      <c r="C39" s="80"/>
      <c r="D39" s="80"/>
      <c r="E39" s="80"/>
      <c r="F39" s="83"/>
      <c r="G39" s="80"/>
      <c r="H39" s="80"/>
      <c r="I39" s="80"/>
      <c r="J39" s="80"/>
      <c r="K39" s="80"/>
      <c r="L39" s="80"/>
      <c r="M39" s="80"/>
      <c r="N39" s="84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1"/>
      <c r="BI39" s="81"/>
      <c r="BJ39" s="80"/>
      <c r="BK39" s="80"/>
    </row>
    <row r="40" spans="2:67">
      <c r="B40" s="80"/>
      <c r="C40" s="80"/>
      <c r="D40" s="80"/>
      <c r="E40" s="80"/>
      <c r="F40" s="83"/>
      <c r="G40" s="80"/>
      <c r="H40" s="80"/>
      <c r="I40" s="80"/>
      <c r="J40" s="80"/>
      <c r="K40" s="80"/>
      <c r="L40" s="80"/>
      <c r="M40" s="80"/>
      <c r="N40" s="84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1"/>
      <c r="BI40" s="81"/>
      <c r="BJ40" s="80"/>
      <c r="BK40" s="80"/>
    </row>
    <row r="41" spans="2:67">
      <c r="B41" s="80"/>
      <c r="C41" s="80"/>
      <c r="D41" s="80"/>
      <c r="E41" s="80"/>
      <c r="F41" s="83"/>
      <c r="G41" s="80"/>
      <c r="H41" s="80"/>
      <c r="I41" s="80"/>
      <c r="J41" s="80"/>
      <c r="K41" s="80"/>
      <c r="L41" s="80"/>
      <c r="M41" s="80"/>
      <c r="N41" s="84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1"/>
      <c r="BI41" s="81"/>
      <c r="BJ41" s="80"/>
      <c r="BK41" s="80"/>
    </row>
    <row r="42" spans="2:67">
      <c r="B42" s="80"/>
      <c r="C42" s="80"/>
      <c r="D42" s="80"/>
      <c r="E42" s="80"/>
      <c r="F42" s="83"/>
      <c r="G42" s="80"/>
      <c r="H42" s="80"/>
      <c r="I42" s="80"/>
      <c r="J42" s="80"/>
      <c r="K42" s="80"/>
      <c r="L42" s="80"/>
      <c r="M42" s="80"/>
      <c r="N42" s="84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1"/>
      <c r="BI42" s="81"/>
      <c r="BJ42" s="80"/>
      <c r="BK42" s="80"/>
    </row>
    <row r="43" spans="2:67">
      <c r="B43" s="80"/>
      <c r="C43" s="80"/>
      <c r="D43" s="80"/>
      <c r="E43" s="80"/>
      <c r="F43" s="83"/>
      <c r="G43" s="80"/>
      <c r="H43" s="80"/>
      <c r="I43" s="80"/>
      <c r="J43" s="80"/>
      <c r="K43" s="80"/>
      <c r="L43" s="80"/>
      <c r="M43" s="80"/>
      <c r="N43" s="84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1"/>
      <c r="BI43" s="81"/>
      <c r="BJ43" s="80"/>
      <c r="BK43" s="80"/>
    </row>
    <row r="44" spans="2:67">
      <c r="B44" s="80"/>
      <c r="C44" s="80"/>
      <c r="D44" s="80"/>
      <c r="E44" s="80"/>
      <c r="F44" s="83"/>
      <c r="G44" s="80"/>
      <c r="H44" s="80"/>
      <c r="I44" s="80"/>
      <c r="J44" s="80"/>
      <c r="K44" s="80"/>
      <c r="L44" s="80"/>
      <c r="M44" s="80"/>
      <c r="N44" s="84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1"/>
      <c r="BI44" s="81"/>
      <c r="BJ44" s="80"/>
      <c r="BK44" s="80"/>
    </row>
    <row r="45" spans="2:67">
      <c r="B45" s="80"/>
      <c r="C45" s="80"/>
      <c r="D45" s="80"/>
      <c r="E45" s="80"/>
      <c r="F45" s="83"/>
      <c r="G45" s="80"/>
      <c r="H45" s="80"/>
      <c r="I45" s="80"/>
      <c r="J45" s="80"/>
      <c r="K45" s="80"/>
      <c r="L45" s="80"/>
      <c r="M45" s="80"/>
      <c r="N45" s="84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1"/>
      <c r="BI45" s="81"/>
      <c r="BJ45" s="80"/>
      <c r="BK45" s="80"/>
    </row>
    <row r="46" spans="2:67">
      <c r="B46" s="80"/>
      <c r="C46" s="80"/>
      <c r="D46" s="80"/>
      <c r="E46" s="80"/>
      <c r="F46" s="83"/>
      <c r="G46" s="80"/>
      <c r="H46" s="80"/>
      <c r="I46" s="80"/>
      <c r="J46" s="80"/>
      <c r="K46" s="80"/>
      <c r="L46" s="80"/>
      <c r="M46" s="80"/>
      <c r="N46" s="84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1"/>
      <c r="BI46" s="81"/>
      <c r="BJ46" s="80"/>
      <c r="BK46" s="80"/>
    </row>
    <row r="47" spans="2:67">
      <c r="B47" s="87"/>
      <c r="C47" s="87"/>
      <c r="D47" s="87"/>
      <c r="E47" s="87"/>
    </row>
    <row r="48" spans="2:67">
      <c r="B48" s="87"/>
      <c r="C48" s="87"/>
      <c r="D48" s="87"/>
      <c r="E48" s="87"/>
    </row>
    <row r="49" spans="2:67">
      <c r="B49" s="2" t="s">
        <v>1</v>
      </c>
      <c r="C49" s="2"/>
      <c r="D49" s="2"/>
      <c r="E49" s="2"/>
      <c r="F49" s="3"/>
      <c r="G49" s="4"/>
      <c r="H49" s="4"/>
      <c r="I49" s="4"/>
      <c r="J49" s="4"/>
      <c r="K49" s="4"/>
      <c r="L49" s="4"/>
      <c r="M49" s="4"/>
      <c r="N49" s="107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5"/>
      <c r="AF49" s="5"/>
      <c r="AG49" s="5"/>
      <c r="AH49" s="5"/>
      <c r="AI49" s="5"/>
      <c r="AJ49" s="5"/>
      <c r="AK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7"/>
      <c r="BI49" s="7"/>
      <c r="BJ49" s="5"/>
      <c r="BK49" s="5"/>
      <c r="BM49" s="5"/>
      <c r="BN49" s="5"/>
      <c r="BO49" s="5"/>
    </row>
    <row r="50" spans="2:67" ht="18.75" customHeight="1">
      <c r="B50" s="2"/>
      <c r="C50" s="2"/>
      <c r="D50" s="2"/>
      <c r="E50" s="2"/>
      <c r="F50" s="1" t="s"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9" t="s">
        <v>134</v>
      </c>
      <c r="BG50" s="10"/>
      <c r="BH50" s="10"/>
      <c r="BI50" s="10"/>
      <c r="BJ50" s="10"/>
      <c r="BK50" s="10"/>
      <c r="BL50" s="10"/>
      <c r="BM50" s="10"/>
      <c r="BN50" s="10"/>
      <c r="BO50" s="11"/>
    </row>
    <row r="51" spans="2:67">
      <c r="B51" s="12"/>
      <c r="C51" s="12"/>
      <c r="D51" s="12"/>
      <c r="E51" s="12"/>
      <c r="F51" s="13"/>
      <c r="G51" s="14" t="s">
        <v>3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"/>
      <c r="AM51" s="15"/>
      <c r="AN51" s="15"/>
      <c r="AO51" s="15"/>
      <c r="AP51" s="15"/>
      <c r="AQ51" s="15"/>
      <c r="AR51" s="17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8"/>
      <c r="BM51" s="15"/>
      <c r="BN51" s="15"/>
      <c r="BO51" s="15"/>
    </row>
    <row r="52" spans="2:67" ht="15">
      <c r="B52" s="19" t="s">
        <v>4</v>
      </c>
      <c r="C52" s="108" t="s">
        <v>5</v>
      </c>
      <c r="D52" s="109"/>
      <c r="E52" s="21" t="s">
        <v>6</v>
      </c>
      <c r="F52" s="110" t="s">
        <v>135</v>
      </c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2"/>
      <c r="BF52" s="24" t="s">
        <v>8</v>
      </c>
      <c r="BG52" s="25"/>
      <c r="BH52" s="25"/>
      <c r="BI52" s="26"/>
      <c r="BJ52" s="31" t="s">
        <v>9</v>
      </c>
      <c r="BK52" s="32"/>
      <c r="BL52" s="29"/>
      <c r="BM52" s="30"/>
      <c r="BN52" s="31" t="s">
        <v>10</v>
      </c>
      <c r="BO52" s="32"/>
    </row>
    <row r="53" spans="2:67" ht="110.1" customHeight="1">
      <c r="B53" s="33"/>
      <c r="C53" s="34" t="s">
        <v>11</v>
      </c>
      <c r="D53" s="35" t="s">
        <v>4</v>
      </c>
      <c r="E53" s="35" t="s">
        <v>12</v>
      </c>
      <c r="F53" s="36" t="s">
        <v>13</v>
      </c>
      <c r="G53" s="36" t="s">
        <v>14</v>
      </c>
      <c r="H53" s="36" t="s">
        <v>15</v>
      </c>
      <c r="I53" s="36" t="s">
        <v>16</v>
      </c>
      <c r="J53" s="36" t="s">
        <v>17</v>
      </c>
      <c r="K53" s="36" t="s">
        <v>18</v>
      </c>
      <c r="L53" s="36" t="s">
        <v>19</v>
      </c>
      <c r="M53" s="36" t="s">
        <v>20</v>
      </c>
      <c r="N53" s="37" t="s">
        <v>21</v>
      </c>
      <c r="O53" s="36" t="s">
        <v>22</v>
      </c>
      <c r="P53" s="36" t="s">
        <v>23</v>
      </c>
      <c r="Q53" s="36" t="s">
        <v>24</v>
      </c>
      <c r="R53" s="36" t="s">
        <v>25</v>
      </c>
      <c r="S53" s="36" t="s">
        <v>26</v>
      </c>
      <c r="T53" s="36" t="s">
        <v>27</v>
      </c>
      <c r="U53" s="36" t="s">
        <v>28</v>
      </c>
      <c r="V53" s="36" t="s">
        <v>29</v>
      </c>
      <c r="W53" s="36" t="s">
        <v>30</v>
      </c>
      <c r="X53" s="38" t="s">
        <v>31</v>
      </c>
      <c r="Y53" s="36" t="s">
        <v>32</v>
      </c>
      <c r="Z53" s="36" t="s">
        <v>33</v>
      </c>
      <c r="AA53" s="36" t="s">
        <v>34</v>
      </c>
      <c r="AB53" s="38" t="s">
        <v>35</v>
      </c>
      <c r="AC53" s="36" t="s">
        <v>36</v>
      </c>
      <c r="AD53" s="39" t="s">
        <v>37</v>
      </c>
      <c r="AE53" s="36" t="s">
        <v>38</v>
      </c>
      <c r="AF53" s="40" t="s">
        <v>39</v>
      </c>
      <c r="AG53" s="40" t="s">
        <v>40</v>
      </c>
      <c r="AH53" s="40" t="s">
        <v>41</v>
      </c>
      <c r="AI53" s="40" t="s">
        <v>42</v>
      </c>
      <c r="AJ53" s="40" t="s">
        <v>43</v>
      </c>
      <c r="AK53" s="40" t="s">
        <v>44</v>
      </c>
      <c r="AL53" s="41" t="s">
        <v>45</v>
      </c>
      <c r="AM53" s="42" t="s">
        <v>46</v>
      </c>
      <c r="AN53" s="43" t="s">
        <v>47</v>
      </c>
      <c r="AO53" s="40" t="s">
        <v>48</v>
      </c>
      <c r="AP53" s="40" t="s">
        <v>49</v>
      </c>
      <c r="AQ53" s="40" t="s">
        <v>50</v>
      </c>
      <c r="AR53" s="44" t="s">
        <v>136</v>
      </c>
      <c r="AS53" s="36" t="s">
        <v>52</v>
      </c>
      <c r="AT53" s="36" t="s">
        <v>53</v>
      </c>
      <c r="AU53" s="36" t="s">
        <v>54</v>
      </c>
      <c r="AV53" s="36" t="s">
        <v>55</v>
      </c>
      <c r="AW53" s="36" t="s">
        <v>56</v>
      </c>
      <c r="AX53" s="36" t="s">
        <v>137</v>
      </c>
      <c r="AY53" s="36" t="s">
        <v>58</v>
      </c>
      <c r="AZ53" s="38" t="s">
        <v>59</v>
      </c>
      <c r="BA53" s="36" t="s">
        <v>60</v>
      </c>
      <c r="BB53" s="36" t="s">
        <v>61</v>
      </c>
      <c r="BC53" s="39" t="s">
        <v>62</v>
      </c>
      <c r="BD53" s="36" t="s">
        <v>63</v>
      </c>
      <c r="BE53" s="36" t="s">
        <v>64</v>
      </c>
      <c r="BF53" s="45" t="s">
        <v>65</v>
      </c>
      <c r="BG53" s="45" t="s">
        <v>66</v>
      </c>
      <c r="BH53" s="45" t="s">
        <v>67</v>
      </c>
      <c r="BI53" s="45" t="s">
        <v>68</v>
      </c>
      <c r="BJ53" s="46" t="s">
        <v>69</v>
      </c>
      <c r="BK53" s="46" t="s">
        <v>70</v>
      </c>
      <c r="BL53" s="47" t="s">
        <v>71</v>
      </c>
      <c r="BM53" s="48" t="s">
        <v>72</v>
      </c>
      <c r="BN53" s="49" t="s">
        <v>69</v>
      </c>
      <c r="BO53" s="50" t="s">
        <v>70</v>
      </c>
    </row>
    <row r="54" spans="2:67" ht="18.75" customHeight="1">
      <c r="B54" s="51" t="s">
        <v>138</v>
      </c>
      <c r="C54" s="52" t="s">
        <v>74</v>
      </c>
      <c r="D54" s="53" t="s">
        <v>138</v>
      </c>
      <c r="E54" s="54" t="s">
        <v>139</v>
      </c>
      <c r="F54" s="55"/>
      <c r="G54" s="55"/>
      <c r="H54" s="55"/>
      <c r="I54" s="55"/>
      <c r="J54" s="55"/>
      <c r="K54" s="55"/>
      <c r="L54" s="55"/>
      <c r="M54" s="55"/>
      <c r="N54" s="56"/>
      <c r="O54" s="55"/>
      <c r="P54" s="55"/>
      <c r="Q54" s="57"/>
      <c r="R54" s="55"/>
      <c r="S54" s="58"/>
      <c r="T54" s="58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7"/>
      <c r="AF54" s="57"/>
      <c r="AG54" s="57"/>
      <c r="AH54" s="57"/>
      <c r="AI54" s="57"/>
      <c r="AJ54" s="57"/>
      <c r="AK54" s="57"/>
      <c r="AL54" s="59"/>
      <c r="AM54" s="57"/>
      <c r="AN54" s="57"/>
      <c r="AO54" s="55"/>
      <c r="AP54" s="55"/>
      <c r="AQ54" s="57"/>
      <c r="AR54" s="60"/>
      <c r="AS54" s="57"/>
      <c r="AT54" s="57"/>
      <c r="AU54" s="57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55"/>
      <c r="BG54" s="62"/>
      <c r="BH54" s="63">
        <f t="shared" ref="BH54:BH83" si="2">SUM(F54:BG54)</f>
        <v>0</v>
      </c>
      <c r="BI54" s="64">
        <v>4</v>
      </c>
      <c r="BJ54" s="62"/>
      <c r="BK54" s="62">
        <f>BH54-BI54</f>
        <v>-4</v>
      </c>
      <c r="BL54" s="64"/>
      <c r="BM54" s="65"/>
      <c r="BN54" s="65"/>
      <c r="BO54" s="65"/>
    </row>
    <row r="55" spans="2:67" ht="18.75" customHeight="1">
      <c r="B55" s="51" t="s">
        <v>140</v>
      </c>
      <c r="C55" s="52" t="s">
        <v>74</v>
      </c>
      <c r="D55" s="53" t="s">
        <v>140</v>
      </c>
      <c r="E55" s="74" t="s">
        <v>141</v>
      </c>
      <c r="F55" s="66"/>
      <c r="G55" s="66"/>
      <c r="H55" s="66"/>
      <c r="I55" s="66"/>
      <c r="J55" s="66"/>
      <c r="K55" s="66"/>
      <c r="L55" s="66"/>
      <c r="M55" s="66"/>
      <c r="N55" s="67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8"/>
      <c r="AS55" s="66"/>
      <c r="AT55" s="66"/>
      <c r="AU55" s="66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55"/>
      <c r="BG55" s="70"/>
      <c r="BH55" s="63">
        <f t="shared" si="2"/>
        <v>0</v>
      </c>
      <c r="BI55" s="63">
        <v>10</v>
      </c>
      <c r="BJ55" s="70"/>
      <c r="BK55" s="62">
        <f t="shared" ref="BK55:BK83" si="3">BH55-BI55</f>
        <v>-10</v>
      </c>
      <c r="BL55" s="63" t="s">
        <v>142</v>
      </c>
      <c r="BM55" s="71"/>
      <c r="BN55" s="71"/>
      <c r="BO55" s="72"/>
    </row>
    <row r="56" spans="2:67" ht="18.95" customHeight="1">
      <c r="B56" s="51" t="s">
        <v>143</v>
      </c>
      <c r="C56" s="73" t="s">
        <v>74</v>
      </c>
      <c r="D56" s="53" t="s">
        <v>143</v>
      </c>
      <c r="E56" s="74" t="s">
        <v>144</v>
      </c>
      <c r="F56" s="66"/>
      <c r="G56" s="66"/>
      <c r="H56" s="66"/>
      <c r="I56" s="66"/>
      <c r="J56" s="66"/>
      <c r="K56" s="66"/>
      <c r="L56" s="66"/>
      <c r="M56" s="66"/>
      <c r="N56" s="67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8"/>
      <c r="AS56" s="66"/>
      <c r="AT56" s="66"/>
      <c r="AU56" s="66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55"/>
      <c r="BG56" s="70"/>
      <c r="BH56" s="63">
        <f t="shared" si="2"/>
        <v>0</v>
      </c>
      <c r="BI56" s="63">
        <v>2</v>
      </c>
      <c r="BJ56" s="70"/>
      <c r="BK56" s="62">
        <f t="shared" si="3"/>
        <v>-2</v>
      </c>
      <c r="BL56" s="63"/>
      <c r="BM56" s="71"/>
      <c r="BN56" s="72"/>
      <c r="BO56" s="71"/>
    </row>
    <row r="57" spans="2:67" ht="18.95" customHeight="1">
      <c r="B57" s="51" t="s">
        <v>145</v>
      </c>
      <c r="C57" s="73" t="s">
        <v>74</v>
      </c>
      <c r="D57" s="53" t="s">
        <v>145</v>
      </c>
      <c r="E57" s="74" t="s">
        <v>146</v>
      </c>
      <c r="F57" s="66"/>
      <c r="G57" s="66"/>
      <c r="H57" s="66"/>
      <c r="I57" s="66"/>
      <c r="J57" s="66"/>
      <c r="K57" s="66"/>
      <c r="L57" s="66"/>
      <c r="M57" s="66"/>
      <c r="N57" s="67"/>
      <c r="O57" s="66"/>
      <c r="P57" s="66"/>
      <c r="Q57" s="66"/>
      <c r="R57" s="66"/>
      <c r="S57" s="66"/>
      <c r="T57" s="66">
        <v>5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8"/>
      <c r="AS57" s="66"/>
      <c r="AT57" s="66"/>
      <c r="AU57" s="66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55"/>
      <c r="BG57" s="70"/>
      <c r="BH57" s="63">
        <f t="shared" si="2"/>
        <v>5</v>
      </c>
      <c r="BI57" s="63">
        <v>5</v>
      </c>
      <c r="BJ57" s="70"/>
      <c r="BK57" s="62">
        <f t="shared" si="3"/>
        <v>0</v>
      </c>
      <c r="BL57" s="63"/>
      <c r="BM57" s="71"/>
      <c r="BN57" s="71"/>
      <c r="BO57" s="71"/>
    </row>
    <row r="58" spans="2:67" ht="18.95" customHeight="1">
      <c r="B58" s="51" t="s">
        <v>147</v>
      </c>
      <c r="C58" s="73" t="s">
        <v>74</v>
      </c>
      <c r="D58" s="53" t="s">
        <v>147</v>
      </c>
      <c r="E58" s="54" t="s">
        <v>148</v>
      </c>
      <c r="F58" s="66"/>
      <c r="G58" s="66"/>
      <c r="H58" s="66"/>
      <c r="I58" s="66"/>
      <c r="J58" s="66"/>
      <c r="K58" s="66">
        <v>1</v>
      </c>
      <c r="L58" s="66"/>
      <c r="M58" s="66"/>
      <c r="N58" s="67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8"/>
      <c r="AS58" s="66"/>
      <c r="AT58" s="66"/>
      <c r="AU58" s="66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55"/>
      <c r="BG58" s="70"/>
      <c r="BH58" s="63">
        <f t="shared" si="2"/>
        <v>1</v>
      </c>
      <c r="BI58" s="63">
        <v>1</v>
      </c>
      <c r="BJ58" s="70"/>
      <c r="BK58" s="62">
        <f t="shared" si="3"/>
        <v>0</v>
      </c>
      <c r="BL58" s="63"/>
      <c r="BM58" s="71"/>
      <c r="BN58" s="71"/>
      <c r="BO58" s="71"/>
    </row>
    <row r="59" spans="2:67" ht="18.75" customHeight="1">
      <c r="B59" s="51" t="s">
        <v>149</v>
      </c>
      <c r="C59" s="73" t="s">
        <v>74</v>
      </c>
      <c r="D59" s="53" t="s">
        <v>149</v>
      </c>
      <c r="E59" s="74" t="s">
        <v>150</v>
      </c>
      <c r="F59" s="66"/>
      <c r="G59" s="66"/>
      <c r="H59" s="66"/>
      <c r="I59" s="66"/>
      <c r="J59" s="66"/>
      <c r="K59" s="66"/>
      <c r="L59" s="66"/>
      <c r="M59" s="66"/>
      <c r="N59" s="67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>
        <v>1</v>
      </c>
      <c r="AQ59" s="66"/>
      <c r="AR59" s="68"/>
      <c r="AS59" s="66"/>
      <c r="AT59" s="66"/>
      <c r="AU59" s="66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55"/>
      <c r="BG59" s="70"/>
      <c r="BH59" s="63">
        <f t="shared" si="2"/>
        <v>1</v>
      </c>
      <c r="BI59" s="63">
        <v>1</v>
      </c>
      <c r="BJ59" s="70"/>
      <c r="BK59" s="62">
        <f t="shared" si="3"/>
        <v>0</v>
      </c>
      <c r="BL59" s="63"/>
      <c r="BM59" s="71"/>
      <c r="BN59" s="71"/>
      <c r="BO59" s="71"/>
    </row>
    <row r="60" spans="2:67" ht="18.95" customHeight="1">
      <c r="B60" s="51" t="s">
        <v>151</v>
      </c>
      <c r="C60" s="73" t="s">
        <v>74</v>
      </c>
      <c r="D60" s="53" t="s">
        <v>151</v>
      </c>
      <c r="E60" s="74" t="s">
        <v>152</v>
      </c>
      <c r="F60" s="66"/>
      <c r="G60" s="66"/>
      <c r="H60" s="66"/>
      <c r="I60" s="66"/>
      <c r="J60" s="66"/>
      <c r="K60" s="66"/>
      <c r="L60" s="66"/>
      <c r="M60" s="66"/>
      <c r="N60" s="67">
        <v>4</v>
      </c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8"/>
      <c r="AS60" s="66"/>
      <c r="AT60" s="66"/>
      <c r="AU60" s="66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55"/>
      <c r="BG60" s="70"/>
      <c r="BH60" s="63">
        <f t="shared" si="2"/>
        <v>4</v>
      </c>
      <c r="BI60" s="63">
        <v>4</v>
      </c>
      <c r="BJ60" s="70"/>
      <c r="BK60" s="62">
        <f t="shared" si="3"/>
        <v>0</v>
      </c>
      <c r="BL60" s="63"/>
      <c r="BM60" s="71"/>
      <c r="BN60" s="71"/>
      <c r="BO60" s="71"/>
    </row>
    <row r="61" spans="2:67" ht="18.75" customHeight="1">
      <c r="B61" s="51" t="s">
        <v>153</v>
      </c>
      <c r="C61" s="73" t="s">
        <v>74</v>
      </c>
      <c r="D61" s="53" t="s">
        <v>153</v>
      </c>
      <c r="E61" s="54" t="s">
        <v>154</v>
      </c>
      <c r="F61" s="66"/>
      <c r="G61" s="66"/>
      <c r="H61" s="66"/>
      <c r="I61" s="66"/>
      <c r="J61" s="66"/>
      <c r="K61" s="66"/>
      <c r="L61" s="66"/>
      <c r="M61" s="66"/>
      <c r="N61" s="67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>
        <v>1</v>
      </c>
      <c r="AR61" s="68"/>
      <c r="AS61" s="66"/>
      <c r="AT61" s="66"/>
      <c r="AU61" s="66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55"/>
      <c r="BG61" s="70"/>
      <c r="BH61" s="63">
        <f t="shared" si="2"/>
        <v>1</v>
      </c>
      <c r="BI61" s="63">
        <v>1</v>
      </c>
      <c r="BJ61" s="70"/>
      <c r="BK61" s="62">
        <f t="shared" si="3"/>
        <v>0</v>
      </c>
      <c r="BL61" s="63"/>
      <c r="BM61" s="71"/>
      <c r="BN61" s="71"/>
      <c r="BO61" s="71"/>
    </row>
    <row r="62" spans="2:67" ht="18.95" customHeight="1">
      <c r="B62" s="51" t="s">
        <v>155</v>
      </c>
      <c r="C62" s="73" t="s">
        <v>74</v>
      </c>
      <c r="D62" s="53" t="s">
        <v>155</v>
      </c>
      <c r="E62" s="54" t="s">
        <v>156</v>
      </c>
      <c r="F62" s="66"/>
      <c r="G62" s="66"/>
      <c r="H62" s="66"/>
      <c r="I62" s="66"/>
      <c r="J62" s="66"/>
      <c r="K62" s="66"/>
      <c r="L62" s="66"/>
      <c r="M62" s="66"/>
      <c r="N62" s="67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>
        <v>1</v>
      </c>
      <c r="AR62" s="68"/>
      <c r="AS62" s="66"/>
      <c r="AT62" s="66"/>
      <c r="AU62" s="66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55"/>
      <c r="BG62" s="70"/>
      <c r="BH62" s="63">
        <f t="shared" si="2"/>
        <v>1</v>
      </c>
      <c r="BI62" s="63">
        <v>1</v>
      </c>
      <c r="BJ62" s="70"/>
      <c r="BK62" s="62">
        <f t="shared" si="3"/>
        <v>0</v>
      </c>
      <c r="BL62" s="63"/>
      <c r="BM62" s="71"/>
      <c r="BN62" s="71"/>
      <c r="BO62" s="71"/>
    </row>
    <row r="63" spans="2:67" ht="18.75" customHeight="1">
      <c r="B63" s="51" t="s">
        <v>157</v>
      </c>
      <c r="C63" s="73" t="s">
        <v>74</v>
      </c>
      <c r="D63" s="53" t="s">
        <v>157</v>
      </c>
      <c r="E63" s="54" t="s">
        <v>158</v>
      </c>
      <c r="F63" s="66"/>
      <c r="G63" s="66"/>
      <c r="H63" s="66"/>
      <c r="I63" s="66"/>
      <c r="J63" s="66"/>
      <c r="K63" s="66"/>
      <c r="L63" s="66"/>
      <c r="M63" s="66"/>
      <c r="N63" s="67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8"/>
      <c r="AS63" s="66"/>
      <c r="AT63" s="66"/>
      <c r="AU63" s="66"/>
      <c r="AV63" s="69"/>
      <c r="AW63" s="69"/>
      <c r="AX63" s="69">
        <v>2</v>
      </c>
      <c r="AY63" s="69"/>
      <c r="AZ63" s="69"/>
      <c r="BA63" s="69"/>
      <c r="BB63" s="69"/>
      <c r="BC63" s="69"/>
      <c r="BD63" s="69"/>
      <c r="BE63" s="69"/>
      <c r="BF63" s="55"/>
      <c r="BG63" s="70"/>
      <c r="BH63" s="63">
        <f t="shared" si="2"/>
        <v>2</v>
      </c>
      <c r="BI63" s="63">
        <v>2</v>
      </c>
      <c r="BJ63" s="70"/>
      <c r="BK63" s="62">
        <f t="shared" si="3"/>
        <v>0</v>
      </c>
      <c r="BL63" s="63"/>
      <c r="BM63" s="71"/>
      <c r="BN63" s="71"/>
      <c r="BO63" s="71"/>
    </row>
    <row r="64" spans="2:67" ht="18.95" customHeight="1">
      <c r="B64" s="51" t="s">
        <v>159</v>
      </c>
      <c r="C64" s="73" t="s">
        <v>74</v>
      </c>
      <c r="D64" s="53" t="s">
        <v>159</v>
      </c>
      <c r="E64" s="54" t="s">
        <v>160</v>
      </c>
      <c r="F64" s="66"/>
      <c r="G64" s="66"/>
      <c r="H64" s="66"/>
      <c r="I64" s="66"/>
      <c r="J64" s="66"/>
      <c r="K64" s="66"/>
      <c r="L64" s="66"/>
      <c r="M64" s="66"/>
      <c r="N64" s="67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>
        <v>1</v>
      </c>
      <c r="AK64" s="66"/>
      <c r="AL64" s="66"/>
      <c r="AM64" s="66"/>
      <c r="AN64" s="66"/>
      <c r="AO64" s="66"/>
      <c r="AP64" s="66"/>
      <c r="AQ64" s="66">
        <v>2</v>
      </c>
      <c r="AR64" s="68"/>
      <c r="AS64" s="66"/>
      <c r="AT64" s="66"/>
      <c r="AU64" s="66"/>
      <c r="AV64" s="69"/>
      <c r="AW64" s="69"/>
      <c r="AX64" s="69">
        <v>2</v>
      </c>
      <c r="AY64" s="69"/>
      <c r="AZ64" s="69"/>
      <c r="BA64" s="69"/>
      <c r="BB64" s="69"/>
      <c r="BC64" s="69"/>
      <c r="BD64" s="69"/>
      <c r="BE64" s="69"/>
      <c r="BF64" s="55"/>
      <c r="BG64" s="70"/>
      <c r="BH64" s="63">
        <f t="shared" si="2"/>
        <v>5</v>
      </c>
      <c r="BI64" s="63">
        <v>5</v>
      </c>
      <c r="BJ64" s="70"/>
      <c r="BK64" s="62">
        <f t="shared" si="3"/>
        <v>0</v>
      </c>
      <c r="BL64" s="63"/>
      <c r="BM64" s="71"/>
      <c r="BN64" s="71"/>
      <c r="BO64" s="71"/>
    </row>
    <row r="65" spans="2:67" ht="18.75" customHeight="1">
      <c r="B65" s="51" t="s">
        <v>161</v>
      </c>
      <c r="C65" s="73" t="s">
        <v>74</v>
      </c>
      <c r="D65" s="53" t="s">
        <v>161</v>
      </c>
      <c r="E65" s="54" t="s">
        <v>162</v>
      </c>
      <c r="F65" s="66"/>
      <c r="G65" s="66"/>
      <c r="H65" s="66"/>
      <c r="I65" s="66"/>
      <c r="J65" s="66"/>
      <c r="K65" s="66"/>
      <c r="L65" s="66"/>
      <c r="M65" s="66"/>
      <c r="N65" s="67">
        <v>2</v>
      </c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8"/>
      <c r="AS65" s="66"/>
      <c r="AT65" s="66"/>
      <c r="AU65" s="66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55"/>
      <c r="BG65" s="70"/>
      <c r="BH65" s="63">
        <f t="shared" si="2"/>
        <v>2</v>
      </c>
      <c r="BI65" s="63">
        <v>2</v>
      </c>
      <c r="BJ65" s="70"/>
      <c r="BK65" s="62">
        <f t="shared" si="3"/>
        <v>0</v>
      </c>
      <c r="BL65" s="63"/>
      <c r="BM65" s="71"/>
      <c r="BN65" s="71"/>
      <c r="BO65" s="71"/>
    </row>
    <row r="66" spans="2:67" ht="18.95" customHeight="1">
      <c r="B66" s="51" t="s">
        <v>163</v>
      </c>
      <c r="C66" s="73" t="s">
        <v>74</v>
      </c>
      <c r="D66" s="53" t="s">
        <v>163</v>
      </c>
      <c r="E66" s="54" t="s">
        <v>164</v>
      </c>
      <c r="F66" s="66"/>
      <c r="G66" s="66"/>
      <c r="H66" s="66"/>
      <c r="I66" s="66"/>
      <c r="J66" s="66"/>
      <c r="K66" s="66"/>
      <c r="L66" s="66"/>
      <c r="M66" s="66"/>
      <c r="N66" s="67"/>
      <c r="O66" s="66"/>
      <c r="P66" s="66"/>
      <c r="Q66" s="66"/>
      <c r="R66" s="66"/>
      <c r="S66" s="66"/>
      <c r="T66" s="66"/>
      <c r="U66" s="66">
        <v>1</v>
      </c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8"/>
      <c r="AS66" s="66"/>
      <c r="AT66" s="66"/>
      <c r="AU66" s="66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55"/>
      <c r="BG66" s="70"/>
      <c r="BH66" s="63">
        <f t="shared" si="2"/>
        <v>1</v>
      </c>
      <c r="BI66" s="63">
        <v>1</v>
      </c>
      <c r="BJ66" s="70"/>
      <c r="BK66" s="62">
        <f t="shared" si="3"/>
        <v>0</v>
      </c>
      <c r="BL66" s="63"/>
      <c r="BM66" s="71"/>
      <c r="BN66" s="71"/>
      <c r="BO66" s="71"/>
    </row>
    <row r="67" spans="2:67" ht="18.75" customHeight="1">
      <c r="B67" s="51" t="s">
        <v>165</v>
      </c>
      <c r="C67" s="73" t="s">
        <v>74</v>
      </c>
      <c r="D67" s="53" t="s">
        <v>165</v>
      </c>
      <c r="E67" s="54" t="s">
        <v>166</v>
      </c>
      <c r="F67" s="66"/>
      <c r="G67" s="66"/>
      <c r="H67" s="66"/>
      <c r="I67" s="66"/>
      <c r="J67" s="66"/>
      <c r="K67" s="66"/>
      <c r="L67" s="66"/>
      <c r="M67" s="66"/>
      <c r="N67" s="67">
        <v>5</v>
      </c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8"/>
      <c r="AS67" s="66"/>
      <c r="AT67" s="66"/>
      <c r="AU67" s="66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55"/>
      <c r="BG67" s="70"/>
      <c r="BH67" s="63">
        <f t="shared" si="2"/>
        <v>5</v>
      </c>
      <c r="BI67" s="63">
        <v>5</v>
      </c>
      <c r="BJ67" s="70"/>
      <c r="BK67" s="62">
        <f t="shared" si="3"/>
        <v>0</v>
      </c>
      <c r="BL67" s="63"/>
      <c r="BM67" s="71"/>
      <c r="BN67" s="71"/>
      <c r="BO67" s="71"/>
    </row>
    <row r="68" spans="2:67" ht="18.95" customHeight="1">
      <c r="B68" s="51" t="s">
        <v>167</v>
      </c>
      <c r="C68" s="73" t="s">
        <v>74</v>
      </c>
      <c r="D68" s="53" t="s">
        <v>167</v>
      </c>
      <c r="E68" s="54" t="s">
        <v>168</v>
      </c>
      <c r="F68" s="66"/>
      <c r="G68" s="66"/>
      <c r="H68" s="66"/>
      <c r="I68" s="66"/>
      <c r="J68" s="66"/>
      <c r="K68" s="66"/>
      <c r="L68" s="66"/>
      <c r="M68" s="66"/>
      <c r="N68" s="67">
        <v>6</v>
      </c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8"/>
      <c r="AS68" s="66"/>
      <c r="AT68" s="66"/>
      <c r="AU68" s="66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55"/>
      <c r="BG68" s="70"/>
      <c r="BH68" s="63">
        <f t="shared" si="2"/>
        <v>6</v>
      </c>
      <c r="BI68" s="63">
        <v>6</v>
      </c>
      <c r="BJ68" s="70"/>
      <c r="BK68" s="62">
        <f t="shared" si="3"/>
        <v>0</v>
      </c>
      <c r="BL68" s="63"/>
      <c r="BM68" s="71"/>
      <c r="BN68" s="71"/>
      <c r="BO68" s="71"/>
    </row>
    <row r="69" spans="2:67" ht="18.75" customHeight="1">
      <c r="B69" s="51" t="s">
        <v>169</v>
      </c>
      <c r="C69" s="73" t="s">
        <v>74</v>
      </c>
      <c r="D69" s="53" t="s">
        <v>169</v>
      </c>
      <c r="E69" s="54" t="s">
        <v>170</v>
      </c>
      <c r="F69" s="66"/>
      <c r="G69" s="66"/>
      <c r="H69" s="66"/>
      <c r="I69" s="66"/>
      <c r="J69" s="66"/>
      <c r="K69" s="66"/>
      <c r="L69" s="66"/>
      <c r="M69" s="66"/>
      <c r="N69" s="67">
        <v>6</v>
      </c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8"/>
      <c r="AS69" s="66"/>
      <c r="AT69" s="66"/>
      <c r="AU69" s="66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55"/>
      <c r="BG69" s="70"/>
      <c r="BH69" s="63">
        <f t="shared" si="2"/>
        <v>6</v>
      </c>
      <c r="BI69" s="63">
        <v>6</v>
      </c>
      <c r="BJ69" s="70"/>
      <c r="BK69" s="62">
        <f t="shared" si="3"/>
        <v>0</v>
      </c>
      <c r="BL69" s="63"/>
      <c r="BM69" s="71"/>
      <c r="BN69" s="71"/>
      <c r="BO69" s="71"/>
    </row>
    <row r="70" spans="2:67" ht="18.75" customHeight="1">
      <c r="B70" s="51" t="s">
        <v>171</v>
      </c>
      <c r="C70" s="52" t="s">
        <v>74</v>
      </c>
      <c r="D70" s="53" t="s">
        <v>171</v>
      </c>
      <c r="E70" s="54" t="s">
        <v>172</v>
      </c>
      <c r="F70" s="66"/>
      <c r="G70" s="66"/>
      <c r="H70" s="66"/>
      <c r="I70" s="66"/>
      <c r="J70" s="66"/>
      <c r="K70" s="66"/>
      <c r="L70" s="66"/>
      <c r="M70" s="66"/>
      <c r="N70" s="67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8"/>
      <c r="AS70" s="66"/>
      <c r="AT70" s="66">
        <v>1</v>
      </c>
      <c r="AU70" s="66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55"/>
      <c r="BG70" s="70">
        <v>2</v>
      </c>
      <c r="BH70" s="63">
        <f t="shared" si="2"/>
        <v>3</v>
      </c>
      <c r="BI70" s="63">
        <v>3</v>
      </c>
      <c r="BJ70" s="70"/>
      <c r="BK70" s="62">
        <f t="shared" si="3"/>
        <v>0</v>
      </c>
      <c r="BL70" s="63" t="s">
        <v>173</v>
      </c>
      <c r="BM70" s="71"/>
      <c r="BN70" s="71"/>
      <c r="BO70" s="71"/>
    </row>
    <row r="71" spans="2:67" ht="18.75" customHeight="1">
      <c r="B71" s="51" t="s">
        <v>174</v>
      </c>
      <c r="C71" s="73" t="s">
        <v>74</v>
      </c>
      <c r="D71" s="53" t="s">
        <v>174</v>
      </c>
      <c r="E71" s="74" t="s">
        <v>175</v>
      </c>
      <c r="F71" s="66"/>
      <c r="G71" s="66"/>
      <c r="H71" s="66"/>
      <c r="I71" s="66"/>
      <c r="J71" s="66"/>
      <c r="K71" s="66"/>
      <c r="L71" s="66"/>
      <c r="M71" s="66"/>
      <c r="N71" s="67"/>
      <c r="O71" s="66"/>
      <c r="P71" s="66"/>
      <c r="Q71" s="66"/>
      <c r="R71" s="66"/>
      <c r="S71" s="66"/>
      <c r="T71" s="66"/>
      <c r="U71" s="66"/>
      <c r="V71" s="66"/>
      <c r="W71" s="66"/>
      <c r="X71" s="66">
        <v>1</v>
      </c>
      <c r="Y71" s="66"/>
      <c r="Z71" s="66"/>
      <c r="AA71" s="66">
        <v>1</v>
      </c>
      <c r="AB71" s="66"/>
      <c r="AC71" s="66"/>
      <c r="AD71" s="66"/>
      <c r="AE71" s="66"/>
      <c r="AF71" s="66"/>
      <c r="AG71" s="66"/>
      <c r="AH71" s="66"/>
      <c r="AI71" s="66"/>
      <c r="AJ71" s="66"/>
      <c r="AK71" s="66">
        <v>1</v>
      </c>
      <c r="AL71" s="66"/>
      <c r="AM71" s="66">
        <v>1</v>
      </c>
      <c r="AN71" s="66"/>
      <c r="AO71" s="66"/>
      <c r="AP71" s="66"/>
      <c r="AQ71" s="66"/>
      <c r="AR71" s="68"/>
      <c r="AS71" s="66"/>
      <c r="AT71" s="66"/>
      <c r="AU71" s="66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55"/>
      <c r="BG71" s="70"/>
      <c r="BH71" s="63">
        <f t="shared" si="2"/>
        <v>4</v>
      </c>
      <c r="BI71" s="63">
        <v>4</v>
      </c>
      <c r="BJ71" s="70"/>
      <c r="BK71" s="62">
        <f t="shared" si="3"/>
        <v>0</v>
      </c>
      <c r="BL71" s="63"/>
      <c r="BM71" s="71"/>
      <c r="BN71" s="71"/>
      <c r="BO71" s="71"/>
    </row>
    <row r="72" spans="2:67" ht="18.75" customHeight="1">
      <c r="B72" s="51" t="s">
        <v>176</v>
      </c>
      <c r="C72" s="73" t="s">
        <v>74</v>
      </c>
      <c r="D72" s="53" t="s">
        <v>176</v>
      </c>
      <c r="E72" s="54" t="s">
        <v>177</v>
      </c>
      <c r="F72" s="66"/>
      <c r="G72" s="66"/>
      <c r="H72" s="66"/>
      <c r="I72" s="66"/>
      <c r="J72" s="66"/>
      <c r="K72" s="66"/>
      <c r="L72" s="66"/>
      <c r="M72" s="66"/>
      <c r="N72" s="67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>
        <v>1</v>
      </c>
      <c r="AN72" s="66"/>
      <c r="AO72" s="66"/>
      <c r="AP72" s="66"/>
      <c r="AQ72" s="66"/>
      <c r="AR72" s="68"/>
      <c r="AS72" s="66"/>
      <c r="AT72" s="66"/>
      <c r="AU72" s="66"/>
      <c r="AV72" s="69"/>
      <c r="AW72" s="69"/>
      <c r="AX72" s="69"/>
      <c r="AY72" s="69">
        <v>1</v>
      </c>
      <c r="AZ72" s="69"/>
      <c r="BA72" s="69"/>
      <c r="BB72" s="69"/>
      <c r="BC72" s="69"/>
      <c r="BD72" s="69"/>
      <c r="BE72" s="69"/>
      <c r="BF72" s="55"/>
      <c r="BG72" s="70"/>
      <c r="BH72" s="63">
        <f t="shared" si="2"/>
        <v>2</v>
      </c>
      <c r="BI72" s="63">
        <v>2</v>
      </c>
      <c r="BJ72" s="70"/>
      <c r="BK72" s="62">
        <f t="shared" si="3"/>
        <v>0</v>
      </c>
      <c r="BL72" s="63"/>
      <c r="BM72" s="71"/>
      <c r="BN72" s="71"/>
      <c r="BO72" s="71"/>
    </row>
    <row r="73" spans="2:67" ht="30" customHeight="1">
      <c r="B73" s="51" t="s">
        <v>178</v>
      </c>
      <c r="C73" s="73" t="s">
        <v>74</v>
      </c>
      <c r="D73" s="53" t="s">
        <v>178</v>
      </c>
      <c r="E73" s="74" t="s">
        <v>179</v>
      </c>
      <c r="F73" s="66"/>
      <c r="G73" s="66"/>
      <c r="H73" s="66"/>
      <c r="I73" s="66"/>
      <c r="J73" s="66"/>
      <c r="K73" s="66"/>
      <c r="L73" s="66"/>
      <c r="M73" s="66"/>
      <c r="N73" s="67"/>
      <c r="O73" s="66"/>
      <c r="P73" s="66"/>
      <c r="Q73" s="66"/>
      <c r="R73" s="66"/>
      <c r="S73" s="66"/>
      <c r="T73" s="66"/>
      <c r="U73" s="66"/>
      <c r="V73" s="66">
        <v>1</v>
      </c>
      <c r="W73" s="66"/>
      <c r="X73" s="66">
        <v>1</v>
      </c>
      <c r="Y73" s="66"/>
      <c r="Z73" s="66"/>
      <c r="AA73" s="66"/>
      <c r="AB73" s="66"/>
      <c r="AC73" s="66"/>
      <c r="AD73" s="66"/>
      <c r="AE73" s="66"/>
      <c r="AF73" s="66"/>
      <c r="AG73" s="66">
        <v>1</v>
      </c>
      <c r="AH73" s="66"/>
      <c r="AI73" s="66"/>
      <c r="AJ73" s="66">
        <v>1</v>
      </c>
      <c r="AK73" s="66"/>
      <c r="AL73" s="66"/>
      <c r="AM73" s="66"/>
      <c r="AN73" s="66"/>
      <c r="AO73" s="66"/>
      <c r="AP73" s="66"/>
      <c r="AQ73" s="66"/>
      <c r="AR73" s="68"/>
      <c r="AS73" s="66"/>
      <c r="AT73" s="66"/>
      <c r="AU73" s="66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55"/>
      <c r="BG73" s="70"/>
      <c r="BH73" s="63">
        <f t="shared" si="2"/>
        <v>4</v>
      </c>
      <c r="BI73" s="63">
        <v>4</v>
      </c>
      <c r="BJ73" s="70"/>
      <c r="BK73" s="62">
        <f t="shared" si="3"/>
        <v>0</v>
      </c>
      <c r="BL73" s="63"/>
      <c r="BM73" s="71"/>
      <c r="BN73" s="71"/>
      <c r="BO73" s="71"/>
    </row>
    <row r="74" spans="2:67" ht="18.95" customHeight="1">
      <c r="B74" s="51" t="s">
        <v>180</v>
      </c>
      <c r="C74" s="73" t="s">
        <v>74</v>
      </c>
      <c r="D74" s="53" t="s">
        <v>180</v>
      </c>
      <c r="E74" s="54" t="s">
        <v>181</v>
      </c>
      <c r="F74" s="66"/>
      <c r="G74" s="66"/>
      <c r="H74" s="66"/>
      <c r="I74" s="66"/>
      <c r="J74" s="66"/>
      <c r="K74" s="66"/>
      <c r="L74" s="66"/>
      <c r="M74" s="66"/>
      <c r="N74" s="67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>
        <v>1</v>
      </c>
      <c r="Z74" s="66"/>
      <c r="AA74" s="66"/>
      <c r="AB74" s="66">
        <v>1</v>
      </c>
      <c r="AC74" s="66"/>
      <c r="AD74" s="66">
        <v>1</v>
      </c>
      <c r="AE74" s="66"/>
      <c r="AF74" s="66">
        <v>1</v>
      </c>
      <c r="AG74" s="66"/>
      <c r="AH74" s="66">
        <v>1</v>
      </c>
      <c r="AI74" s="66">
        <v>1</v>
      </c>
      <c r="AJ74" s="66"/>
      <c r="AK74" s="66"/>
      <c r="AL74" s="66"/>
      <c r="AM74" s="66"/>
      <c r="AN74" s="66"/>
      <c r="AO74" s="66"/>
      <c r="AP74" s="66"/>
      <c r="AQ74" s="66">
        <v>1</v>
      </c>
      <c r="AR74" s="68"/>
      <c r="AS74" s="66"/>
      <c r="AT74" s="66"/>
      <c r="AU74" s="66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55"/>
      <c r="BG74" s="70"/>
      <c r="BH74" s="63">
        <f t="shared" si="2"/>
        <v>7</v>
      </c>
      <c r="BI74" s="63">
        <v>6</v>
      </c>
      <c r="BJ74" s="70"/>
      <c r="BK74" s="62">
        <f t="shared" si="3"/>
        <v>1</v>
      </c>
      <c r="BL74" s="113" t="s">
        <v>182</v>
      </c>
      <c r="BM74" s="71"/>
      <c r="BN74" s="71"/>
      <c r="BO74" s="71"/>
    </row>
    <row r="75" spans="2:67" ht="18.75" customHeight="1">
      <c r="B75" s="51" t="s">
        <v>183</v>
      </c>
      <c r="C75" s="73" t="s">
        <v>74</v>
      </c>
      <c r="D75" s="53" t="s">
        <v>183</v>
      </c>
      <c r="E75" s="54" t="s">
        <v>184</v>
      </c>
      <c r="F75" s="66"/>
      <c r="G75" s="66"/>
      <c r="H75" s="66"/>
      <c r="I75" s="66"/>
      <c r="J75" s="66"/>
      <c r="K75" s="66"/>
      <c r="L75" s="66"/>
      <c r="M75" s="66"/>
      <c r="N75" s="67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8"/>
      <c r="AS75" s="66"/>
      <c r="AT75" s="66"/>
      <c r="AU75" s="66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55"/>
      <c r="BG75" s="70"/>
      <c r="BH75" s="63">
        <f t="shared" si="2"/>
        <v>0</v>
      </c>
      <c r="BI75" s="63">
        <v>2</v>
      </c>
      <c r="BJ75" s="70"/>
      <c r="BK75" s="62">
        <f t="shared" si="3"/>
        <v>-2</v>
      </c>
      <c r="BL75" s="63"/>
      <c r="BM75" s="71"/>
      <c r="BN75" s="71"/>
      <c r="BO75" s="71"/>
    </row>
    <row r="76" spans="2:67" ht="18.75" customHeight="1">
      <c r="B76" s="51" t="s">
        <v>185</v>
      </c>
      <c r="C76" s="73" t="s">
        <v>74</v>
      </c>
      <c r="D76" s="53" t="s">
        <v>185</v>
      </c>
      <c r="E76" s="54" t="s">
        <v>186</v>
      </c>
      <c r="F76" s="66"/>
      <c r="G76" s="66"/>
      <c r="H76" s="66"/>
      <c r="I76" s="66"/>
      <c r="J76" s="66"/>
      <c r="K76" s="66"/>
      <c r="L76" s="66"/>
      <c r="M76" s="66"/>
      <c r="N76" s="67"/>
      <c r="O76" s="66"/>
      <c r="P76" s="66"/>
      <c r="Q76" s="66"/>
      <c r="R76" s="66"/>
      <c r="S76" s="66"/>
      <c r="T76" s="66"/>
      <c r="U76" s="66">
        <v>1</v>
      </c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8"/>
      <c r="AS76" s="66"/>
      <c r="AT76" s="66"/>
      <c r="AU76" s="66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55"/>
      <c r="BG76" s="70"/>
      <c r="BH76" s="63">
        <f t="shared" si="2"/>
        <v>1</v>
      </c>
      <c r="BI76" s="63">
        <v>1</v>
      </c>
      <c r="BJ76" s="70"/>
      <c r="BK76" s="62">
        <f t="shared" si="3"/>
        <v>0</v>
      </c>
      <c r="BL76" s="63"/>
      <c r="BM76" s="71"/>
      <c r="BN76" s="71"/>
      <c r="BO76" s="71"/>
    </row>
    <row r="77" spans="2:67" ht="18.75" customHeight="1">
      <c r="B77" s="51" t="s">
        <v>187</v>
      </c>
      <c r="C77" s="73" t="s">
        <v>74</v>
      </c>
      <c r="D77" s="53" t="s">
        <v>187</v>
      </c>
      <c r="E77" s="54" t="s">
        <v>188</v>
      </c>
      <c r="F77" s="66"/>
      <c r="G77" s="66"/>
      <c r="H77" s="66"/>
      <c r="I77" s="66"/>
      <c r="J77" s="66"/>
      <c r="K77" s="66">
        <v>19</v>
      </c>
      <c r="L77" s="66">
        <v>8</v>
      </c>
      <c r="M77" s="66"/>
      <c r="N77" s="67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8"/>
      <c r="AS77" s="66"/>
      <c r="AT77" s="66"/>
      <c r="AU77" s="66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55"/>
      <c r="BG77" s="70"/>
      <c r="BH77" s="63">
        <f t="shared" si="2"/>
        <v>27</v>
      </c>
      <c r="BI77" s="63">
        <v>30</v>
      </c>
      <c r="BJ77" s="70"/>
      <c r="BK77" s="62">
        <f t="shared" si="3"/>
        <v>-3</v>
      </c>
      <c r="BL77" s="63"/>
      <c r="BM77" s="71"/>
      <c r="BN77" s="71"/>
      <c r="BO77" s="71"/>
    </row>
    <row r="78" spans="2:67" ht="18.75" customHeight="1">
      <c r="B78" s="51" t="s">
        <v>189</v>
      </c>
      <c r="C78" s="73" t="s">
        <v>74</v>
      </c>
      <c r="D78" s="53" t="s">
        <v>189</v>
      </c>
      <c r="E78" s="54" t="s">
        <v>190</v>
      </c>
      <c r="F78" s="66"/>
      <c r="G78" s="66"/>
      <c r="H78" s="66"/>
      <c r="I78" s="66"/>
      <c r="J78" s="66"/>
      <c r="K78" s="66"/>
      <c r="L78" s="66"/>
      <c r="M78" s="66"/>
      <c r="N78" s="67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>
        <v>2</v>
      </c>
      <c r="AB78" s="66"/>
      <c r="AC78" s="66">
        <v>1</v>
      </c>
      <c r="AD78" s="66"/>
      <c r="AE78" s="66"/>
      <c r="AF78" s="66"/>
      <c r="AG78" s="66"/>
      <c r="AH78" s="66">
        <v>1</v>
      </c>
      <c r="AI78" s="66"/>
      <c r="AJ78" s="66"/>
      <c r="AK78" s="66"/>
      <c r="AL78" s="75"/>
      <c r="AM78" s="66"/>
      <c r="AN78" s="66"/>
      <c r="AO78" s="66"/>
      <c r="AP78" s="66"/>
      <c r="AQ78" s="66"/>
      <c r="AR78" s="68"/>
      <c r="AS78" s="66">
        <v>1</v>
      </c>
      <c r="AT78" s="66">
        <v>1</v>
      </c>
      <c r="AU78" s="66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55"/>
      <c r="BG78" s="70"/>
      <c r="BH78" s="63">
        <f t="shared" si="2"/>
        <v>6</v>
      </c>
      <c r="BI78" s="63">
        <v>8</v>
      </c>
      <c r="BJ78" s="70"/>
      <c r="BK78" s="62">
        <f t="shared" si="3"/>
        <v>-2</v>
      </c>
      <c r="BL78" s="113" t="s">
        <v>191</v>
      </c>
      <c r="BM78" s="71"/>
      <c r="BN78" s="71"/>
      <c r="BO78" s="71"/>
    </row>
    <row r="79" spans="2:67" ht="18.75" customHeight="1">
      <c r="B79" s="51" t="s">
        <v>192</v>
      </c>
      <c r="C79" s="73" t="s">
        <v>74</v>
      </c>
      <c r="D79" s="53" t="s">
        <v>192</v>
      </c>
      <c r="E79" s="54" t="s">
        <v>193</v>
      </c>
      <c r="F79" s="66"/>
      <c r="G79" s="66"/>
      <c r="H79" s="66"/>
      <c r="I79" s="66"/>
      <c r="J79" s="66"/>
      <c r="K79" s="66"/>
      <c r="L79" s="66">
        <v>1</v>
      </c>
      <c r="M79" s="66">
        <v>1</v>
      </c>
      <c r="N79" s="67">
        <v>1</v>
      </c>
      <c r="O79" s="66">
        <v>1</v>
      </c>
      <c r="P79" s="66"/>
      <c r="Q79" s="66">
        <v>9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75"/>
      <c r="AM79" s="66"/>
      <c r="AN79" s="66"/>
      <c r="AO79" s="66"/>
      <c r="AP79" s="66"/>
      <c r="AQ79" s="66"/>
      <c r="AR79" s="68"/>
      <c r="AS79" s="66"/>
      <c r="AT79" s="66"/>
      <c r="AU79" s="66">
        <v>1</v>
      </c>
      <c r="AV79" s="69"/>
      <c r="AW79" s="69"/>
      <c r="AX79" s="69"/>
      <c r="AY79" s="69"/>
      <c r="AZ79" s="69"/>
      <c r="BA79" s="69"/>
      <c r="BB79" s="69"/>
      <c r="BC79" s="69">
        <v>1</v>
      </c>
      <c r="BD79" s="69"/>
      <c r="BE79" s="69"/>
      <c r="BF79" s="55"/>
      <c r="BG79" s="70"/>
      <c r="BH79" s="63">
        <f t="shared" si="2"/>
        <v>15</v>
      </c>
      <c r="BI79" s="63">
        <v>23</v>
      </c>
      <c r="BJ79" s="70"/>
      <c r="BK79" s="62">
        <f t="shared" si="3"/>
        <v>-8</v>
      </c>
      <c r="BL79" s="63"/>
      <c r="BM79" s="71"/>
      <c r="BN79" s="71"/>
      <c r="BO79" s="71"/>
    </row>
    <row r="80" spans="2:67" ht="18.95" customHeight="1">
      <c r="B80" s="51" t="s">
        <v>194</v>
      </c>
      <c r="C80" s="73" t="s">
        <v>74</v>
      </c>
      <c r="D80" s="53" t="s">
        <v>194</v>
      </c>
      <c r="E80" s="54" t="s">
        <v>195</v>
      </c>
      <c r="F80" s="66"/>
      <c r="G80" s="66"/>
      <c r="H80" s="66"/>
      <c r="I80" s="66"/>
      <c r="J80" s="66"/>
      <c r="K80" s="66"/>
      <c r="L80" s="66"/>
      <c r="M80" s="66"/>
      <c r="N80" s="67">
        <v>5</v>
      </c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8"/>
      <c r="AS80" s="66"/>
      <c r="AT80" s="66"/>
      <c r="AU80" s="66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55"/>
      <c r="BG80" s="70"/>
      <c r="BH80" s="63">
        <f t="shared" si="2"/>
        <v>5</v>
      </c>
      <c r="BI80" s="63">
        <v>5</v>
      </c>
      <c r="BJ80" s="70"/>
      <c r="BK80" s="62">
        <f t="shared" si="3"/>
        <v>0</v>
      </c>
      <c r="BL80" s="63"/>
      <c r="BM80" s="71"/>
      <c r="BN80" s="65"/>
      <c r="BO80" s="65"/>
    </row>
    <row r="81" spans="2:67" ht="18.95" customHeight="1">
      <c r="B81" s="51" t="s">
        <v>196</v>
      </c>
      <c r="C81" s="73" t="s">
        <v>74</v>
      </c>
      <c r="D81" s="53" t="s">
        <v>196</v>
      </c>
      <c r="E81" s="54" t="s">
        <v>197</v>
      </c>
      <c r="F81" s="55"/>
      <c r="G81" s="66"/>
      <c r="H81" s="66"/>
      <c r="I81" s="66"/>
      <c r="J81" s="66"/>
      <c r="K81" s="66"/>
      <c r="L81" s="66"/>
      <c r="M81" s="66"/>
      <c r="N81" s="67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>
        <v>1</v>
      </c>
      <c r="AC81" s="66"/>
      <c r="AD81" s="66"/>
      <c r="AE81" s="66"/>
      <c r="AF81" s="66"/>
      <c r="AG81" s="66"/>
      <c r="AH81" s="66"/>
      <c r="AI81" s="66"/>
      <c r="AJ81" s="66"/>
      <c r="AK81" s="66"/>
      <c r="AL81" s="75"/>
      <c r="AM81" s="66"/>
      <c r="AN81" s="66"/>
      <c r="AO81" s="66"/>
      <c r="AP81" s="66"/>
      <c r="AQ81" s="66"/>
      <c r="AR81" s="68"/>
      <c r="AS81" s="66"/>
      <c r="AT81" s="66"/>
      <c r="AU81" s="66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55"/>
      <c r="BG81" s="70"/>
      <c r="BH81" s="63">
        <f t="shared" si="2"/>
        <v>1</v>
      </c>
      <c r="BI81" s="63">
        <v>1</v>
      </c>
      <c r="BJ81" s="70"/>
      <c r="BK81" s="62">
        <f t="shared" si="3"/>
        <v>0</v>
      </c>
      <c r="BL81" s="63"/>
      <c r="BM81" s="71"/>
      <c r="BN81" s="65"/>
      <c r="BO81" s="65"/>
    </row>
    <row r="82" spans="2:67" ht="18.95" customHeight="1">
      <c r="B82" s="51" t="s">
        <v>198</v>
      </c>
      <c r="C82" s="73" t="s">
        <v>74</v>
      </c>
      <c r="D82" s="53" t="s">
        <v>198</v>
      </c>
      <c r="E82" s="54" t="s">
        <v>199</v>
      </c>
      <c r="F82" s="66"/>
      <c r="G82" s="66"/>
      <c r="H82" s="66"/>
      <c r="I82" s="66"/>
      <c r="J82" s="66"/>
      <c r="K82" s="66"/>
      <c r="L82" s="66"/>
      <c r="M82" s="66"/>
      <c r="N82" s="67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>
        <v>1</v>
      </c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8"/>
      <c r="AS82" s="66"/>
      <c r="AT82" s="66"/>
      <c r="AU82" s="66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55"/>
      <c r="BG82" s="70"/>
      <c r="BH82" s="63">
        <f t="shared" si="2"/>
        <v>1</v>
      </c>
      <c r="BI82" s="63">
        <v>1</v>
      </c>
      <c r="BJ82" s="70"/>
      <c r="BK82" s="62">
        <f t="shared" si="3"/>
        <v>0</v>
      </c>
      <c r="BL82" s="63"/>
      <c r="BM82" s="71"/>
      <c r="BN82" s="71"/>
      <c r="BO82" s="71"/>
    </row>
    <row r="83" spans="2:67" ht="18.75" customHeight="1">
      <c r="B83" s="51" t="s">
        <v>200</v>
      </c>
      <c r="C83" s="73" t="s">
        <v>74</v>
      </c>
      <c r="D83" s="53" t="s">
        <v>200</v>
      </c>
      <c r="E83" s="74" t="s">
        <v>201</v>
      </c>
      <c r="F83" s="55"/>
      <c r="G83" s="55"/>
      <c r="H83" s="55"/>
      <c r="I83" s="55"/>
      <c r="J83" s="55"/>
      <c r="K83" s="55"/>
      <c r="L83" s="55"/>
      <c r="M83" s="55"/>
      <c r="N83" s="56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>
        <v>1</v>
      </c>
      <c r="AI83" s="55"/>
      <c r="AJ83" s="55"/>
      <c r="AK83" s="55"/>
      <c r="AL83" s="55"/>
      <c r="AM83" s="55"/>
      <c r="AN83" s="55"/>
      <c r="AO83" s="55"/>
      <c r="AP83" s="55"/>
      <c r="AQ83" s="55"/>
      <c r="AR83" s="76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70"/>
      <c r="BH83" s="63">
        <f t="shared" si="2"/>
        <v>1</v>
      </c>
      <c r="BI83" s="63">
        <v>1</v>
      </c>
      <c r="BJ83" s="70"/>
      <c r="BK83" s="62">
        <f t="shared" si="3"/>
        <v>0</v>
      </c>
      <c r="BL83" s="63"/>
      <c r="BM83" s="71"/>
      <c r="BN83" s="65"/>
      <c r="BO83" s="65"/>
    </row>
    <row r="84" spans="2:67">
      <c r="B84" s="87"/>
      <c r="C84" s="87"/>
      <c r="D84" s="87"/>
      <c r="E84" s="87"/>
    </row>
    <row r="85" spans="2:67">
      <c r="B85" s="87"/>
      <c r="C85" s="87"/>
      <c r="D85" s="87"/>
      <c r="E85" s="87"/>
    </row>
    <row r="86" spans="2:67">
      <c r="B86" s="87"/>
      <c r="C86" s="87"/>
      <c r="D86" s="87"/>
      <c r="E86" s="87"/>
    </row>
    <row r="87" spans="2:67">
      <c r="B87" s="87"/>
      <c r="C87" s="87"/>
      <c r="D87" s="87"/>
      <c r="E87" s="87"/>
    </row>
    <row r="88" spans="2:67">
      <c r="B88" s="87"/>
      <c r="C88" s="87"/>
      <c r="D88" s="87"/>
      <c r="E88" s="87"/>
    </row>
    <row r="89" spans="2:67">
      <c r="B89" s="87"/>
      <c r="C89" s="87"/>
      <c r="D89" s="87"/>
      <c r="E89" s="87"/>
    </row>
    <row r="90" spans="2:67">
      <c r="B90" s="87"/>
      <c r="C90" s="87"/>
      <c r="D90" s="87"/>
      <c r="E90" s="87"/>
    </row>
    <row r="91" spans="2:67">
      <c r="B91" s="87"/>
      <c r="C91" s="87"/>
      <c r="D91" s="87"/>
      <c r="E91" s="87"/>
    </row>
    <row r="92" spans="2:67">
      <c r="B92" s="87"/>
      <c r="C92" s="87"/>
      <c r="D92" s="87"/>
      <c r="E92" s="87"/>
    </row>
    <row r="93" spans="2:67">
      <c r="B93" s="87"/>
      <c r="C93" s="87"/>
      <c r="D93" s="87"/>
      <c r="E93" s="87"/>
    </row>
    <row r="94" spans="2:67">
      <c r="B94" s="87"/>
      <c r="C94" s="87"/>
      <c r="D94" s="87"/>
      <c r="E94" s="87"/>
    </row>
    <row r="95" spans="2:67">
      <c r="B95" s="87"/>
      <c r="C95" s="87"/>
      <c r="D95" s="87"/>
      <c r="E95" s="87"/>
    </row>
    <row r="96" spans="2:67">
      <c r="B96" s="2" t="s">
        <v>1</v>
      </c>
      <c r="C96" s="2"/>
      <c r="D96" s="2"/>
      <c r="E96" s="2"/>
      <c r="F96" s="3"/>
      <c r="G96" s="4"/>
      <c r="H96" s="4"/>
      <c r="I96" s="4"/>
      <c r="J96" s="4"/>
      <c r="K96" s="4"/>
      <c r="L96" s="4"/>
      <c r="M96" s="4"/>
      <c r="N96" s="107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5"/>
      <c r="AF96" s="5"/>
      <c r="AG96" s="5"/>
      <c r="AH96" s="5"/>
      <c r="AI96" s="5"/>
      <c r="AJ96" s="5"/>
      <c r="AK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7"/>
      <c r="BI96" s="7"/>
      <c r="BJ96" s="5"/>
      <c r="BK96" s="5"/>
      <c r="BM96" s="5"/>
      <c r="BN96" s="5"/>
      <c r="BO96" s="5"/>
    </row>
    <row r="97" spans="2:67" ht="18.75" customHeight="1">
      <c r="B97" s="2"/>
      <c r="C97" s="2"/>
      <c r="D97" s="2"/>
      <c r="E97" s="2"/>
      <c r="F97" s="1" t="s"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9" t="s">
        <v>202</v>
      </c>
      <c r="BG97" s="10"/>
      <c r="BH97" s="10"/>
      <c r="BI97" s="10"/>
      <c r="BJ97" s="10"/>
      <c r="BK97" s="10"/>
      <c r="BL97" s="10"/>
      <c r="BM97" s="10"/>
      <c r="BN97" s="10"/>
      <c r="BO97" s="11"/>
    </row>
    <row r="98" spans="2:67">
      <c r="B98" s="12"/>
      <c r="C98" s="12"/>
      <c r="D98" s="12"/>
      <c r="E98" s="12"/>
      <c r="F98" s="13"/>
      <c r="G98" s="14" t="s">
        <v>3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6"/>
      <c r="AM98" s="15"/>
      <c r="AN98" s="15"/>
      <c r="AO98" s="15"/>
      <c r="AP98" s="15"/>
      <c r="AQ98" s="15"/>
      <c r="AR98" s="17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8"/>
      <c r="BM98" s="15"/>
      <c r="BN98" s="15"/>
      <c r="BO98" s="15"/>
    </row>
    <row r="99" spans="2:67" ht="15">
      <c r="B99" s="19" t="s">
        <v>4</v>
      </c>
      <c r="C99" s="20" t="s">
        <v>5</v>
      </c>
      <c r="D99" s="20"/>
      <c r="E99" s="21" t="s">
        <v>6</v>
      </c>
      <c r="F99" s="110" t="s">
        <v>135</v>
      </c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24" t="s">
        <v>8</v>
      </c>
      <c r="BG99" s="25"/>
      <c r="BH99" s="25"/>
      <c r="BI99" s="26"/>
      <c r="BJ99" s="31" t="s">
        <v>9</v>
      </c>
      <c r="BK99" s="32"/>
      <c r="BL99" s="29"/>
      <c r="BM99" s="30"/>
      <c r="BN99" s="31" t="s">
        <v>10</v>
      </c>
      <c r="BO99" s="32"/>
    </row>
    <row r="100" spans="2:67" ht="110.1" customHeight="1">
      <c r="B100" s="33"/>
      <c r="C100" s="34" t="s">
        <v>11</v>
      </c>
      <c r="D100" s="35" t="s">
        <v>4</v>
      </c>
      <c r="E100" s="35" t="s">
        <v>12</v>
      </c>
      <c r="F100" s="36" t="s">
        <v>13</v>
      </c>
      <c r="G100" s="36" t="s">
        <v>14</v>
      </c>
      <c r="H100" s="36" t="s">
        <v>15</v>
      </c>
      <c r="I100" s="36" t="s">
        <v>16</v>
      </c>
      <c r="J100" s="36" t="s">
        <v>17</v>
      </c>
      <c r="K100" s="36" t="s">
        <v>18</v>
      </c>
      <c r="L100" s="36" t="s">
        <v>19</v>
      </c>
      <c r="M100" s="36" t="s">
        <v>20</v>
      </c>
      <c r="N100" s="37" t="s">
        <v>21</v>
      </c>
      <c r="O100" s="36" t="s">
        <v>22</v>
      </c>
      <c r="P100" s="36" t="s">
        <v>23</v>
      </c>
      <c r="Q100" s="36" t="s">
        <v>24</v>
      </c>
      <c r="R100" s="36" t="s">
        <v>25</v>
      </c>
      <c r="S100" s="36" t="s">
        <v>26</v>
      </c>
      <c r="T100" s="36" t="s">
        <v>27</v>
      </c>
      <c r="U100" s="36" t="s">
        <v>28</v>
      </c>
      <c r="V100" s="36" t="s">
        <v>29</v>
      </c>
      <c r="W100" s="36" t="s">
        <v>30</v>
      </c>
      <c r="X100" s="38" t="s">
        <v>31</v>
      </c>
      <c r="Y100" s="36" t="s">
        <v>32</v>
      </c>
      <c r="Z100" s="36" t="s">
        <v>33</v>
      </c>
      <c r="AA100" s="36" t="s">
        <v>34</v>
      </c>
      <c r="AB100" s="38" t="s">
        <v>35</v>
      </c>
      <c r="AC100" s="36" t="s">
        <v>36</v>
      </c>
      <c r="AD100" s="39" t="s">
        <v>37</v>
      </c>
      <c r="AE100" s="36" t="s">
        <v>38</v>
      </c>
      <c r="AF100" s="40" t="s">
        <v>39</v>
      </c>
      <c r="AG100" s="40" t="s">
        <v>40</v>
      </c>
      <c r="AH100" s="40" t="s">
        <v>41</v>
      </c>
      <c r="AI100" s="40" t="s">
        <v>42</v>
      </c>
      <c r="AJ100" s="40" t="s">
        <v>43</v>
      </c>
      <c r="AK100" s="40" t="s">
        <v>44</v>
      </c>
      <c r="AL100" s="41" t="s">
        <v>45</v>
      </c>
      <c r="AM100" s="42" t="s">
        <v>46</v>
      </c>
      <c r="AN100" s="43" t="s">
        <v>47</v>
      </c>
      <c r="AO100" s="40" t="s">
        <v>48</v>
      </c>
      <c r="AP100" s="40" t="s">
        <v>49</v>
      </c>
      <c r="AQ100" s="40" t="s">
        <v>50</v>
      </c>
      <c r="AR100" s="44" t="s">
        <v>136</v>
      </c>
      <c r="AS100" s="36" t="s">
        <v>52</v>
      </c>
      <c r="AT100" s="36" t="s">
        <v>53</v>
      </c>
      <c r="AU100" s="36" t="s">
        <v>54</v>
      </c>
      <c r="AV100" s="36" t="s">
        <v>55</v>
      </c>
      <c r="AW100" s="36" t="s">
        <v>56</v>
      </c>
      <c r="AX100" s="36" t="s">
        <v>203</v>
      </c>
      <c r="AY100" s="36" t="s">
        <v>58</v>
      </c>
      <c r="AZ100" s="38" t="s">
        <v>59</v>
      </c>
      <c r="BA100" s="36" t="s">
        <v>60</v>
      </c>
      <c r="BB100" s="36" t="s">
        <v>61</v>
      </c>
      <c r="BC100" s="39" t="s">
        <v>62</v>
      </c>
      <c r="BD100" s="36" t="s">
        <v>63</v>
      </c>
      <c r="BE100" s="36" t="s">
        <v>64</v>
      </c>
      <c r="BF100" s="45" t="s">
        <v>65</v>
      </c>
      <c r="BG100" s="45" t="s">
        <v>66</v>
      </c>
      <c r="BH100" s="45" t="s">
        <v>67</v>
      </c>
      <c r="BI100" s="45" t="s">
        <v>68</v>
      </c>
      <c r="BJ100" s="46" t="s">
        <v>69</v>
      </c>
      <c r="BK100" s="46" t="s">
        <v>70</v>
      </c>
      <c r="BL100" s="47" t="s">
        <v>71</v>
      </c>
      <c r="BM100" s="48" t="s">
        <v>72</v>
      </c>
      <c r="BN100" s="49" t="s">
        <v>69</v>
      </c>
      <c r="BO100" s="50" t="s">
        <v>70</v>
      </c>
    </row>
    <row r="101" spans="2:67" ht="18.75" customHeight="1">
      <c r="B101" s="51" t="s">
        <v>204</v>
      </c>
      <c r="C101" s="52" t="s">
        <v>74</v>
      </c>
      <c r="D101" s="53" t="s">
        <v>204</v>
      </c>
      <c r="E101" s="114" t="s">
        <v>205</v>
      </c>
      <c r="F101" s="55"/>
      <c r="G101" s="55"/>
      <c r="H101" s="55"/>
      <c r="I101" s="55"/>
      <c r="J101" s="55"/>
      <c r="K101" s="55"/>
      <c r="L101" s="55"/>
      <c r="M101" s="55"/>
      <c r="N101" s="56"/>
      <c r="O101" s="55"/>
      <c r="P101" s="55"/>
      <c r="Q101" s="57"/>
      <c r="R101" s="55"/>
      <c r="S101" s="58"/>
      <c r="T101" s="58"/>
      <c r="U101" s="55">
        <v>1</v>
      </c>
      <c r="V101" s="55"/>
      <c r="W101" s="55"/>
      <c r="X101" s="55"/>
      <c r="Y101" s="55"/>
      <c r="Z101" s="55"/>
      <c r="AA101" s="55"/>
      <c r="AB101" s="55"/>
      <c r="AC101" s="55"/>
      <c r="AD101" s="55"/>
      <c r="AE101" s="57"/>
      <c r="AF101" s="57"/>
      <c r="AG101" s="57"/>
      <c r="AH101" s="57"/>
      <c r="AI101" s="57"/>
      <c r="AJ101" s="57"/>
      <c r="AK101" s="57"/>
      <c r="AL101" s="59"/>
      <c r="AM101" s="57"/>
      <c r="AN101" s="57"/>
      <c r="AO101" s="55"/>
      <c r="AP101" s="55"/>
      <c r="AQ101" s="57"/>
      <c r="AR101" s="60"/>
      <c r="AS101" s="57"/>
      <c r="AT101" s="57"/>
      <c r="AU101" s="57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55"/>
      <c r="BG101" s="62"/>
      <c r="BH101" s="63">
        <f t="shared" ref="BH101:BH130" si="4">SUM(F101:BG101)</f>
        <v>1</v>
      </c>
      <c r="BI101" s="64">
        <v>1</v>
      </c>
      <c r="BJ101" s="62"/>
      <c r="BK101" s="62">
        <f>BH101-BI101</f>
        <v>0</v>
      </c>
      <c r="BL101" s="64"/>
      <c r="BM101" s="65"/>
      <c r="BN101" s="65"/>
      <c r="BO101" s="65"/>
    </row>
    <row r="102" spans="2:67" ht="30" customHeight="1">
      <c r="B102" s="51" t="s">
        <v>206</v>
      </c>
      <c r="C102" s="52" t="s">
        <v>74</v>
      </c>
      <c r="D102" s="53" t="s">
        <v>206</v>
      </c>
      <c r="E102" s="114" t="s">
        <v>207</v>
      </c>
      <c r="F102" s="66"/>
      <c r="G102" s="66"/>
      <c r="H102" s="66"/>
      <c r="I102" s="66"/>
      <c r="J102" s="66"/>
      <c r="K102" s="66"/>
      <c r="L102" s="66"/>
      <c r="M102" s="66"/>
      <c r="N102" s="67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8"/>
      <c r="AS102" s="66"/>
      <c r="AT102" s="66"/>
      <c r="AU102" s="66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55"/>
      <c r="BG102" s="70"/>
      <c r="BH102" s="63">
        <f t="shared" si="4"/>
        <v>0</v>
      </c>
      <c r="BI102" s="63">
        <v>3</v>
      </c>
      <c r="BJ102" s="70"/>
      <c r="BK102" s="62">
        <f t="shared" ref="BK102:BK130" si="5">BH102-BI102</f>
        <v>-3</v>
      </c>
      <c r="BL102" s="63"/>
      <c r="BM102" s="71"/>
      <c r="BN102" s="71"/>
      <c r="BO102" s="72"/>
    </row>
    <row r="103" spans="2:67" ht="18.75" customHeight="1">
      <c r="B103" s="51" t="s">
        <v>208</v>
      </c>
      <c r="C103" s="73" t="s">
        <v>74</v>
      </c>
      <c r="D103" s="53" t="s">
        <v>208</v>
      </c>
      <c r="E103" s="114" t="s">
        <v>209</v>
      </c>
      <c r="F103" s="66"/>
      <c r="G103" s="66"/>
      <c r="H103" s="66"/>
      <c r="I103" s="66"/>
      <c r="J103" s="66"/>
      <c r="K103" s="66"/>
      <c r="L103" s="66"/>
      <c r="M103" s="66"/>
      <c r="N103" s="67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8"/>
      <c r="AS103" s="66"/>
      <c r="AT103" s="66"/>
      <c r="AU103" s="66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55"/>
      <c r="BG103" s="70"/>
      <c r="BH103" s="63">
        <f t="shared" si="4"/>
        <v>0</v>
      </c>
      <c r="BI103" s="63">
        <v>2</v>
      </c>
      <c r="BJ103" s="70"/>
      <c r="BK103" s="62">
        <f t="shared" si="5"/>
        <v>-2</v>
      </c>
      <c r="BL103" s="63"/>
      <c r="BM103" s="71"/>
      <c r="BN103" s="72"/>
      <c r="BO103" s="71"/>
    </row>
    <row r="104" spans="2:67" ht="18.75" customHeight="1">
      <c r="B104" s="51" t="s">
        <v>210</v>
      </c>
      <c r="C104" s="73" t="s">
        <v>74</v>
      </c>
      <c r="D104" s="53" t="s">
        <v>210</v>
      </c>
      <c r="E104" s="115" t="s">
        <v>211</v>
      </c>
      <c r="F104" s="66"/>
      <c r="G104" s="66"/>
      <c r="H104" s="66"/>
      <c r="I104" s="66"/>
      <c r="J104" s="66"/>
      <c r="K104" s="66"/>
      <c r="L104" s="66"/>
      <c r="M104" s="66">
        <v>7</v>
      </c>
      <c r="N104" s="67"/>
      <c r="O104" s="66"/>
      <c r="P104" s="66">
        <v>9</v>
      </c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8"/>
      <c r="AS104" s="66"/>
      <c r="AT104" s="66"/>
      <c r="AU104" s="66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55"/>
      <c r="BG104" s="70">
        <v>3</v>
      </c>
      <c r="BH104" s="63">
        <f t="shared" si="4"/>
        <v>19</v>
      </c>
      <c r="BI104" s="63">
        <v>12</v>
      </c>
      <c r="BJ104" s="70"/>
      <c r="BK104" s="62">
        <f t="shared" si="5"/>
        <v>7</v>
      </c>
      <c r="BL104" s="63"/>
      <c r="BM104" s="71"/>
      <c r="BN104" s="71"/>
      <c r="BO104" s="71"/>
    </row>
    <row r="105" spans="2:67" ht="18.95" customHeight="1">
      <c r="B105" s="51" t="s">
        <v>212</v>
      </c>
      <c r="C105" s="73" t="s">
        <v>74</v>
      </c>
      <c r="D105" s="53" t="s">
        <v>212</v>
      </c>
      <c r="E105" s="116" t="s">
        <v>213</v>
      </c>
      <c r="F105" s="66"/>
      <c r="G105" s="66"/>
      <c r="H105" s="66"/>
      <c r="I105" s="66"/>
      <c r="J105" s="66"/>
      <c r="K105" s="66">
        <v>9</v>
      </c>
      <c r="L105" s="66"/>
      <c r="M105" s="66"/>
      <c r="N105" s="67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>
        <v>1</v>
      </c>
      <c r="AB105" s="66"/>
      <c r="AC105" s="66">
        <v>1</v>
      </c>
      <c r="AD105" s="66">
        <v>1</v>
      </c>
      <c r="AE105" s="66"/>
      <c r="AF105" s="66"/>
      <c r="AG105" s="66">
        <v>1</v>
      </c>
      <c r="AH105" s="66">
        <v>2</v>
      </c>
      <c r="AI105" s="66"/>
      <c r="AJ105" s="66">
        <v>1</v>
      </c>
      <c r="AK105" s="66">
        <v>1</v>
      </c>
      <c r="AL105" s="66"/>
      <c r="AM105" s="66"/>
      <c r="AN105" s="66"/>
      <c r="AO105" s="66"/>
      <c r="AP105" s="66"/>
      <c r="AQ105" s="66">
        <v>1</v>
      </c>
      <c r="AR105" s="66"/>
      <c r="AS105" s="66">
        <v>1</v>
      </c>
      <c r="AT105" s="66">
        <v>1</v>
      </c>
      <c r="AU105" s="66"/>
      <c r="AV105" s="69"/>
      <c r="AW105" s="69"/>
      <c r="AX105" s="69"/>
      <c r="AY105" s="69">
        <v>1</v>
      </c>
      <c r="AZ105" s="69"/>
      <c r="BA105" s="69"/>
      <c r="BB105" s="69"/>
      <c r="BC105" s="69"/>
      <c r="BD105" s="69"/>
      <c r="BE105" s="69"/>
      <c r="BF105" s="55"/>
      <c r="BG105" s="70">
        <v>6</v>
      </c>
      <c r="BH105" s="63">
        <f t="shared" si="4"/>
        <v>27</v>
      </c>
      <c r="BI105" s="63">
        <v>27</v>
      </c>
      <c r="BJ105" s="70"/>
      <c r="BK105" s="62">
        <f t="shared" si="5"/>
        <v>0</v>
      </c>
      <c r="BL105" s="63"/>
      <c r="BM105" s="71"/>
      <c r="BN105" s="71"/>
      <c r="BO105" s="71"/>
    </row>
    <row r="106" spans="2:67" ht="18.75" customHeight="1">
      <c r="B106" s="51" t="s">
        <v>214</v>
      </c>
      <c r="C106" s="73" t="s">
        <v>74</v>
      </c>
      <c r="D106" s="53" t="s">
        <v>214</v>
      </c>
      <c r="E106" s="115" t="s">
        <v>215</v>
      </c>
      <c r="F106" s="66"/>
      <c r="G106" s="66"/>
      <c r="H106" s="66"/>
      <c r="I106" s="66"/>
      <c r="J106" s="66"/>
      <c r="K106" s="66">
        <v>5</v>
      </c>
      <c r="L106" s="66"/>
      <c r="M106" s="66"/>
      <c r="N106" s="67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>
        <v>1</v>
      </c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8"/>
      <c r="AS106" s="66">
        <v>1</v>
      </c>
      <c r="AT106" s="66"/>
      <c r="AU106" s="66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55"/>
      <c r="BG106" s="70">
        <v>3</v>
      </c>
      <c r="BH106" s="63">
        <f t="shared" si="4"/>
        <v>10</v>
      </c>
      <c r="BI106" s="63">
        <v>10</v>
      </c>
      <c r="BJ106" s="70"/>
      <c r="BK106" s="62">
        <f t="shared" si="5"/>
        <v>0</v>
      </c>
      <c r="BL106" s="63"/>
      <c r="BM106" s="71"/>
      <c r="BN106" s="71"/>
      <c r="BO106" s="71"/>
    </row>
    <row r="107" spans="2:67" ht="18.75" customHeight="1">
      <c r="B107" s="51" t="s">
        <v>216</v>
      </c>
      <c r="C107" s="73" t="s">
        <v>74</v>
      </c>
      <c r="D107" s="53" t="s">
        <v>216</v>
      </c>
      <c r="E107" s="115" t="s">
        <v>217</v>
      </c>
      <c r="F107" s="66"/>
      <c r="G107" s="66"/>
      <c r="H107" s="66"/>
      <c r="I107" s="66"/>
      <c r="J107" s="66"/>
      <c r="K107" s="66"/>
      <c r="L107" s="66"/>
      <c r="M107" s="66"/>
      <c r="N107" s="67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8"/>
      <c r="AS107" s="66"/>
      <c r="AT107" s="66"/>
      <c r="AU107" s="66">
        <v>10</v>
      </c>
      <c r="AV107" s="69">
        <v>10</v>
      </c>
      <c r="AW107" s="69"/>
      <c r="AX107" s="69"/>
      <c r="AY107" s="69"/>
      <c r="AZ107" s="69"/>
      <c r="BA107" s="69"/>
      <c r="BB107" s="69"/>
      <c r="BC107" s="69"/>
      <c r="BD107" s="69"/>
      <c r="BE107" s="69"/>
      <c r="BF107" s="55"/>
      <c r="BG107" s="70">
        <v>10</v>
      </c>
      <c r="BH107" s="63">
        <f t="shared" si="4"/>
        <v>30</v>
      </c>
      <c r="BI107" s="63">
        <v>30</v>
      </c>
      <c r="BJ107" s="70"/>
      <c r="BK107" s="62">
        <f t="shared" si="5"/>
        <v>0</v>
      </c>
      <c r="BL107" s="63"/>
      <c r="BM107" s="71"/>
      <c r="BN107" s="71"/>
      <c r="BO107" s="71"/>
    </row>
    <row r="108" spans="2:67" ht="18.75" customHeight="1">
      <c r="B108" s="51" t="s">
        <v>218</v>
      </c>
      <c r="C108" s="73" t="s">
        <v>74</v>
      </c>
      <c r="D108" s="53" t="s">
        <v>218</v>
      </c>
      <c r="E108" s="117" t="s">
        <v>219</v>
      </c>
      <c r="F108" s="66"/>
      <c r="G108" s="66">
        <v>1</v>
      </c>
      <c r="H108" s="66"/>
      <c r="I108" s="66"/>
      <c r="J108" s="66"/>
      <c r="K108" s="66"/>
      <c r="L108" s="66">
        <v>3</v>
      </c>
      <c r="M108" s="66">
        <v>6</v>
      </c>
      <c r="N108" s="67"/>
      <c r="O108" s="66"/>
      <c r="P108" s="66"/>
      <c r="Q108" s="66"/>
      <c r="R108" s="66"/>
      <c r="S108" s="66"/>
      <c r="T108" s="66"/>
      <c r="U108" s="66"/>
      <c r="V108" s="66"/>
      <c r="W108" s="66">
        <v>5</v>
      </c>
      <c r="X108" s="66">
        <v>3</v>
      </c>
      <c r="Y108" s="66">
        <v>1</v>
      </c>
      <c r="Z108" s="66">
        <v>2</v>
      </c>
      <c r="AA108" s="66">
        <v>1</v>
      </c>
      <c r="AB108" s="66"/>
      <c r="AC108" s="66"/>
      <c r="AD108" s="66"/>
      <c r="AE108" s="66"/>
      <c r="AF108" s="66"/>
      <c r="AG108" s="66">
        <v>2</v>
      </c>
      <c r="AH108" s="66">
        <v>1</v>
      </c>
      <c r="AI108" s="66"/>
      <c r="AJ108" s="66"/>
      <c r="AK108" s="66"/>
      <c r="AL108" s="66">
        <v>3</v>
      </c>
      <c r="AM108" s="66">
        <v>1</v>
      </c>
      <c r="AN108" s="66"/>
      <c r="AO108" s="66"/>
      <c r="AP108" s="66"/>
      <c r="AQ108" s="66"/>
      <c r="AR108" s="66"/>
      <c r="AS108" s="66">
        <v>1</v>
      </c>
      <c r="AT108" s="66">
        <v>1</v>
      </c>
      <c r="AU108" s="66"/>
      <c r="AV108" s="69"/>
      <c r="AW108" s="69"/>
      <c r="AX108" s="69"/>
      <c r="AY108" s="69">
        <v>1</v>
      </c>
      <c r="AZ108" s="69"/>
      <c r="BA108" s="69"/>
      <c r="BB108" s="69"/>
      <c r="BC108" s="69"/>
      <c r="BD108" s="69"/>
      <c r="BE108" s="69"/>
      <c r="BF108" s="55"/>
      <c r="BG108" s="70"/>
      <c r="BH108" s="63">
        <f t="shared" si="4"/>
        <v>32</v>
      </c>
      <c r="BI108" s="63">
        <v>36</v>
      </c>
      <c r="BJ108" s="70"/>
      <c r="BK108" s="62">
        <f t="shared" si="5"/>
        <v>-4</v>
      </c>
      <c r="BL108" s="63"/>
      <c r="BM108" s="71"/>
      <c r="BN108" s="71"/>
      <c r="BO108" s="71"/>
    </row>
    <row r="109" spans="2:67" ht="18.95" customHeight="1">
      <c r="B109" s="51" t="s">
        <v>220</v>
      </c>
      <c r="C109" s="73" t="s">
        <v>74</v>
      </c>
      <c r="D109" s="53" t="s">
        <v>220</v>
      </c>
      <c r="E109" s="115" t="s">
        <v>221</v>
      </c>
      <c r="F109" s="66"/>
      <c r="G109" s="66"/>
      <c r="H109" s="66"/>
      <c r="I109" s="66"/>
      <c r="J109" s="66"/>
      <c r="K109" s="66"/>
      <c r="L109" s="66">
        <v>3</v>
      </c>
      <c r="M109" s="66"/>
      <c r="N109" s="67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8"/>
      <c r="AS109" s="66"/>
      <c r="AT109" s="66"/>
      <c r="AU109" s="66"/>
      <c r="AV109" s="69"/>
      <c r="AW109" s="69"/>
      <c r="AX109" s="69"/>
      <c r="AY109" s="69"/>
      <c r="AZ109" s="69"/>
      <c r="BA109" s="69"/>
      <c r="BB109" s="69"/>
      <c r="BC109" s="69">
        <v>1</v>
      </c>
      <c r="BD109" s="69"/>
      <c r="BE109" s="69"/>
      <c r="BF109" s="55"/>
      <c r="BG109" s="70"/>
      <c r="BH109" s="63">
        <f t="shared" si="4"/>
        <v>4</v>
      </c>
      <c r="BI109" s="63">
        <v>12</v>
      </c>
      <c r="BJ109" s="70"/>
      <c r="BK109" s="62">
        <f t="shared" si="5"/>
        <v>-8</v>
      </c>
      <c r="BL109" s="63"/>
      <c r="BM109" s="71"/>
      <c r="BN109" s="71"/>
      <c r="BO109" s="71"/>
    </row>
    <row r="110" spans="2:67" ht="18.75" customHeight="1">
      <c r="B110" s="51" t="s">
        <v>222</v>
      </c>
      <c r="C110" s="73" t="s">
        <v>74</v>
      </c>
      <c r="D110" s="53" t="s">
        <v>222</v>
      </c>
      <c r="E110" s="115" t="s">
        <v>223</v>
      </c>
      <c r="F110" s="66"/>
      <c r="G110" s="66"/>
      <c r="H110" s="66"/>
      <c r="I110" s="66"/>
      <c r="J110" s="66"/>
      <c r="K110" s="66"/>
      <c r="L110" s="66"/>
      <c r="M110" s="66"/>
      <c r="N110" s="67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8"/>
      <c r="AS110" s="66"/>
      <c r="AT110" s="66"/>
      <c r="AU110" s="66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55">
        <v>5</v>
      </c>
      <c r="BG110" s="70"/>
      <c r="BH110" s="63">
        <f t="shared" si="4"/>
        <v>5</v>
      </c>
      <c r="BI110" s="63">
        <v>5</v>
      </c>
      <c r="BJ110" s="70"/>
      <c r="BK110" s="62">
        <f t="shared" si="5"/>
        <v>0</v>
      </c>
      <c r="BL110" s="63"/>
      <c r="BM110" s="71"/>
      <c r="BN110" s="71"/>
      <c r="BO110" s="71"/>
    </row>
    <row r="111" spans="2:67" ht="18.75" customHeight="1">
      <c r="B111" s="51" t="s">
        <v>224</v>
      </c>
      <c r="C111" s="73" t="s">
        <v>74</v>
      </c>
      <c r="D111" s="53" t="s">
        <v>224</v>
      </c>
      <c r="E111" s="115" t="s">
        <v>225</v>
      </c>
      <c r="F111" s="66"/>
      <c r="G111" s="66"/>
      <c r="H111" s="66"/>
      <c r="I111" s="66"/>
      <c r="J111" s="66"/>
      <c r="K111" s="66"/>
      <c r="L111" s="66"/>
      <c r="M111" s="66"/>
      <c r="N111" s="67"/>
      <c r="O111" s="66"/>
      <c r="P111" s="66"/>
      <c r="Q111" s="66"/>
      <c r="R111" s="66"/>
      <c r="S111" s="66"/>
      <c r="T111" s="66"/>
      <c r="U111" s="66">
        <v>2</v>
      </c>
      <c r="V111" s="66"/>
      <c r="W111" s="66"/>
      <c r="X111" s="66"/>
      <c r="Y111" s="66"/>
      <c r="Z111" s="66"/>
      <c r="AA111" s="66"/>
      <c r="AB111" s="66"/>
      <c r="AC111" s="66"/>
      <c r="AD111" s="66"/>
      <c r="AE111" s="66">
        <v>1</v>
      </c>
      <c r="AF111" s="66"/>
      <c r="AG111" s="66"/>
      <c r="AH111" s="66"/>
      <c r="AI111" s="66">
        <v>1</v>
      </c>
      <c r="AJ111" s="66"/>
      <c r="AK111" s="66"/>
      <c r="AL111" s="66"/>
      <c r="AM111" s="66">
        <v>1</v>
      </c>
      <c r="AN111" s="66"/>
      <c r="AO111" s="66"/>
      <c r="AP111" s="66"/>
      <c r="AQ111" s="66"/>
      <c r="AR111" s="68"/>
      <c r="AS111" s="66">
        <v>1</v>
      </c>
      <c r="AT111" s="66"/>
      <c r="AU111" s="66">
        <v>1</v>
      </c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55">
        <v>8</v>
      </c>
      <c r="BG111" s="70"/>
      <c r="BH111" s="63">
        <f t="shared" si="4"/>
        <v>15</v>
      </c>
      <c r="BI111" s="63">
        <v>27</v>
      </c>
      <c r="BJ111" s="70"/>
      <c r="BK111" s="62">
        <f t="shared" si="5"/>
        <v>-12</v>
      </c>
      <c r="BL111" s="63"/>
      <c r="BM111" s="71"/>
      <c r="BN111" s="71"/>
      <c r="BO111" s="71"/>
    </row>
    <row r="112" spans="2:67" ht="18.75" customHeight="1">
      <c r="B112" s="51" t="s">
        <v>226</v>
      </c>
      <c r="C112" s="73" t="s">
        <v>74</v>
      </c>
      <c r="D112" s="53" t="s">
        <v>226</v>
      </c>
      <c r="E112" s="115" t="s">
        <v>227</v>
      </c>
      <c r="F112" s="66"/>
      <c r="G112" s="66"/>
      <c r="H112" s="66"/>
      <c r="I112" s="66"/>
      <c r="J112" s="66"/>
      <c r="K112" s="66"/>
      <c r="L112" s="66"/>
      <c r="M112" s="66"/>
      <c r="N112" s="67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8"/>
      <c r="AS112" s="66"/>
      <c r="AT112" s="66"/>
      <c r="AU112" s="66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55"/>
      <c r="BG112" s="70"/>
      <c r="BH112" s="63">
        <f t="shared" si="4"/>
        <v>0</v>
      </c>
      <c r="BI112" s="63">
        <v>14</v>
      </c>
      <c r="BJ112" s="70"/>
      <c r="BK112" s="62">
        <f t="shared" si="5"/>
        <v>-14</v>
      </c>
      <c r="BL112" s="63"/>
      <c r="BM112" s="71"/>
      <c r="BN112" s="71"/>
      <c r="BO112" s="71"/>
    </row>
    <row r="113" spans="2:69" ht="18.95" customHeight="1">
      <c r="B113" s="51" t="s">
        <v>228</v>
      </c>
      <c r="C113" s="73" t="s">
        <v>74</v>
      </c>
      <c r="D113" s="53" t="s">
        <v>228</v>
      </c>
      <c r="E113" s="115" t="s">
        <v>229</v>
      </c>
      <c r="F113" s="66"/>
      <c r="G113" s="66"/>
      <c r="H113" s="66"/>
      <c r="I113" s="66"/>
      <c r="J113" s="66"/>
      <c r="K113" s="66"/>
      <c r="L113" s="66"/>
      <c r="M113" s="66"/>
      <c r="N113" s="67"/>
      <c r="O113" s="66"/>
      <c r="P113" s="66">
        <v>1</v>
      </c>
      <c r="Q113" s="66">
        <v>9</v>
      </c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8"/>
      <c r="AS113" s="66"/>
      <c r="AT113" s="66"/>
      <c r="AU113" s="66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55"/>
      <c r="BG113" s="70"/>
      <c r="BH113" s="63">
        <f t="shared" si="4"/>
        <v>10</v>
      </c>
      <c r="BI113" s="63">
        <v>10</v>
      </c>
      <c r="BJ113" s="70"/>
      <c r="BK113" s="62">
        <f t="shared" si="5"/>
        <v>0</v>
      </c>
      <c r="BL113" s="63"/>
      <c r="BM113" s="71"/>
      <c r="BN113" s="71"/>
      <c r="BO113" s="71"/>
    </row>
    <row r="114" spans="2:69" ht="18.75" customHeight="1">
      <c r="B114" s="51" t="s">
        <v>230</v>
      </c>
      <c r="C114" s="73" t="s">
        <v>74</v>
      </c>
      <c r="D114" s="53" t="s">
        <v>230</v>
      </c>
      <c r="E114" s="115" t="s">
        <v>231</v>
      </c>
      <c r="F114" s="66"/>
      <c r="G114" s="66"/>
      <c r="H114" s="66"/>
      <c r="I114" s="66"/>
      <c r="J114" s="66"/>
      <c r="K114" s="66"/>
      <c r="L114" s="66"/>
      <c r="M114" s="66"/>
      <c r="N114" s="67"/>
      <c r="O114" s="66"/>
      <c r="P114" s="66"/>
      <c r="Q114" s="66"/>
      <c r="R114" s="66">
        <v>200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8"/>
      <c r="AS114" s="66"/>
      <c r="AT114" s="66"/>
      <c r="AU114" s="66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55"/>
      <c r="BG114" s="70"/>
      <c r="BH114" s="63">
        <f t="shared" si="4"/>
        <v>200</v>
      </c>
      <c r="BI114" s="63">
        <v>200</v>
      </c>
      <c r="BJ114" s="70"/>
      <c r="BK114" s="62">
        <f t="shared" si="5"/>
        <v>0</v>
      </c>
      <c r="BL114" s="63"/>
      <c r="BM114" s="71"/>
      <c r="BN114" s="71"/>
      <c r="BO114" s="71"/>
    </row>
    <row r="115" spans="2:69" ht="18.95" customHeight="1">
      <c r="B115" s="51" t="s">
        <v>232</v>
      </c>
      <c r="C115" s="73" t="s">
        <v>74</v>
      </c>
      <c r="D115" s="53" t="s">
        <v>232</v>
      </c>
      <c r="E115" s="115" t="s">
        <v>233</v>
      </c>
      <c r="F115" s="66"/>
      <c r="G115" s="66"/>
      <c r="H115" s="66"/>
      <c r="I115" s="66"/>
      <c r="J115" s="66"/>
      <c r="K115" s="66"/>
      <c r="L115" s="66"/>
      <c r="M115" s="66"/>
      <c r="N115" s="67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>
        <v>1</v>
      </c>
      <c r="AN115" s="66"/>
      <c r="AO115" s="66"/>
      <c r="AP115" s="66"/>
      <c r="AQ115" s="66"/>
      <c r="AR115" s="68"/>
      <c r="AS115" s="66"/>
      <c r="AT115" s="66"/>
      <c r="AU115" s="66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55"/>
      <c r="BG115" s="70"/>
      <c r="BH115" s="63">
        <f t="shared" si="4"/>
        <v>1</v>
      </c>
      <c r="BI115" s="63">
        <v>7</v>
      </c>
      <c r="BJ115" s="70"/>
      <c r="BK115" s="62">
        <f t="shared" si="5"/>
        <v>-6</v>
      </c>
      <c r="BL115" s="63"/>
      <c r="BM115" s="71"/>
      <c r="BN115" s="71"/>
      <c r="BO115" s="71"/>
    </row>
    <row r="116" spans="2:69" ht="18.75" customHeight="1">
      <c r="B116" s="51" t="s">
        <v>234</v>
      </c>
      <c r="C116" s="73" t="s">
        <v>74</v>
      </c>
      <c r="D116" s="53" t="s">
        <v>234</v>
      </c>
      <c r="E116" s="115" t="s">
        <v>235</v>
      </c>
      <c r="F116" s="66"/>
      <c r="G116" s="66"/>
      <c r="H116" s="66"/>
      <c r="I116" s="66"/>
      <c r="J116" s="66"/>
      <c r="K116" s="66"/>
      <c r="L116" s="66"/>
      <c r="M116" s="66"/>
      <c r="N116" s="67"/>
      <c r="O116" s="66"/>
      <c r="P116" s="66"/>
      <c r="Q116" s="66">
        <v>270</v>
      </c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8"/>
      <c r="AS116" s="66"/>
      <c r="AT116" s="66"/>
      <c r="AU116" s="66"/>
      <c r="AV116" s="69">
        <v>40</v>
      </c>
      <c r="AW116" s="69">
        <v>20</v>
      </c>
      <c r="AX116" s="69"/>
      <c r="AY116" s="69"/>
      <c r="AZ116" s="69"/>
      <c r="BA116" s="69"/>
      <c r="BB116" s="69"/>
      <c r="BC116" s="69"/>
      <c r="BD116" s="69"/>
      <c r="BE116" s="69"/>
      <c r="BF116" s="55"/>
      <c r="BG116" s="70"/>
      <c r="BH116" s="63">
        <f t="shared" si="4"/>
        <v>330</v>
      </c>
      <c r="BI116" s="63">
        <v>330</v>
      </c>
      <c r="BJ116" s="70"/>
      <c r="BK116" s="62">
        <f t="shared" si="5"/>
        <v>0</v>
      </c>
      <c r="BL116" s="63"/>
      <c r="BM116" s="71"/>
      <c r="BN116" s="71"/>
      <c r="BO116" s="71"/>
    </row>
    <row r="117" spans="2:69" ht="18.75" customHeight="1">
      <c r="B117" s="51" t="s">
        <v>236</v>
      </c>
      <c r="C117" s="52" t="s">
        <v>74</v>
      </c>
      <c r="D117" s="53" t="s">
        <v>236</v>
      </c>
      <c r="E117" s="118" t="s">
        <v>237</v>
      </c>
      <c r="F117" s="66">
        <v>18</v>
      </c>
      <c r="G117" s="66"/>
      <c r="H117" s="66">
        <v>1</v>
      </c>
      <c r="I117" s="66">
        <v>10</v>
      </c>
      <c r="J117" s="66"/>
      <c r="K117" s="66">
        <v>7</v>
      </c>
      <c r="L117" s="66"/>
      <c r="M117" s="66">
        <v>3</v>
      </c>
      <c r="N117" s="67">
        <v>15</v>
      </c>
      <c r="O117" s="66">
        <v>1</v>
      </c>
      <c r="P117" s="66"/>
      <c r="Q117" s="66"/>
      <c r="R117" s="66"/>
      <c r="S117" s="66"/>
      <c r="T117" s="66"/>
      <c r="U117" s="66"/>
      <c r="V117" s="66">
        <v>3</v>
      </c>
      <c r="W117" s="66">
        <v>14</v>
      </c>
      <c r="X117" s="66">
        <v>2</v>
      </c>
      <c r="Y117" s="66">
        <v>2</v>
      </c>
      <c r="Z117" s="66"/>
      <c r="AA117" s="66"/>
      <c r="AB117" s="66"/>
      <c r="AC117" s="66">
        <v>2</v>
      </c>
      <c r="AD117" s="66">
        <v>1</v>
      </c>
      <c r="AE117" s="66">
        <v>2</v>
      </c>
      <c r="AF117" s="66">
        <v>2</v>
      </c>
      <c r="AG117" s="66"/>
      <c r="AH117" s="66">
        <v>1</v>
      </c>
      <c r="AI117" s="66">
        <v>3</v>
      </c>
      <c r="AJ117" s="66">
        <v>2</v>
      </c>
      <c r="AK117" s="66">
        <v>2</v>
      </c>
      <c r="AL117" s="66"/>
      <c r="AM117" s="66"/>
      <c r="AN117" s="66">
        <v>2</v>
      </c>
      <c r="AO117" s="66"/>
      <c r="AP117" s="66"/>
      <c r="AQ117" s="66">
        <v>2</v>
      </c>
      <c r="AR117" s="66"/>
      <c r="AS117" s="66">
        <v>1</v>
      </c>
      <c r="AT117" s="66">
        <v>3</v>
      </c>
      <c r="AU117" s="66">
        <v>2</v>
      </c>
      <c r="AV117" s="69"/>
      <c r="AW117" s="69"/>
      <c r="AX117" s="69"/>
      <c r="AY117" s="69">
        <v>1</v>
      </c>
      <c r="AZ117" s="69"/>
      <c r="BA117" s="69">
        <v>2</v>
      </c>
      <c r="BB117" s="69"/>
      <c r="BC117" s="69"/>
      <c r="BD117" s="69">
        <v>2</v>
      </c>
      <c r="BE117" s="69"/>
      <c r="BF117" s="55"/>
      <c r="BG117" s="70">
        <v>1</v>
      </c>
      <c r="BH117" s="63">
        <f t="shared" si="4"/>
        <v>107</v>
      </c>
      <c r="BI117" s="63">
        <v>120</v>
      </c>
      <c r="BJ117" s="70"/>
      <c r="BK117" s="62">
        <f t="shared" si="5"/>
        <v>-13</v>
      </c>
      <c r="BL117" s="63"/>
      <c r="BM117" s="71"/>
      <c r="BN117" s="71"/>
      <c r="BO117" s="71"/>
    </row>
    <row r="118" spans="2:69" ht="18.95" customHeight="1">
      <c r="B118" s="51" t="s">
        <v>238</v>
      </c>
      <c r="C118" s="73" t="s">
        <v>74</v>
      </c>
      <c r="D118" s="53" t="s">
        <v>238</v>
      </c>
      <c r="E118" s="119" t="s">
        <v>239</v>
      </c>
      <c r="F118" s="66"/>
      <c r="G118" s="66"/>
      <c r="H118" s="66"/>
      <c r="I118" s="66"/>
      <c r="J118" s="66"/>
      <c r="K118" s="66"/>
      <c r="L118" s="66"/>
      <c r="M118" s="66"/>
      <c r="N118" s="67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8"/>
      <c r="AS118" s="66"/>
      <c r="AT118" s="66"/>
      <c r="AU118" s="66"/>
      <c r="AV118" s="69"/>
      <c r="AW118" s="69"/>
      <c r="AX118" s="69">
        <v>1</v>
      </c>
      <c r="AY118" s="69"/>
      <c r="AZ118" s="69"/>
      <c r="BA118" s="69"/>
      <c r="BB118" s="69"/>
      <c r="BC118" s="69"/>
      <c r="BD118" s="69"/>
      <c r="BE118" s="69"/>
      <c r="BF118" s="55"/>
      <c r="BG118" s="70"/>
      <c r="BH118" s="63">
        <f t="shared" si="4"/>
        <v>1</v>
      </c>
      <c r="BI118" s="63">
        <v>1</v>
      </c>
      <c r="BJ118" s="70"/>
      <c r="BK118" s="62">
        <f t="shared" si="5"/>
        <v>0</v>
      </c>
      <c r="BL118" s="63"/>
      <c r="BM118" s="71"/>
      <c r="BN118" s="71"/>
      <c r="BO118" s="71"/>
    </row>
    <row r="119" spans="2:69" s="89" customFormat="1" ht="18.75" customHeight="1">
      <c r="B119" s="51" t="s">
        <v>240</v>
      </c>
      <c r="C119" s="73" t="s">
        <v>74</v>
      </c>
      <c r="D119" s="53" t="s">
        <v>240</v>
      </c>
      <c r="E119" s="117" t="s">
        <v>241</v>
      </c>
      <c r="F119" s="66"/>
      <c r="G119" s="66"/>
      <c r="H119" s="66"/>
      <c r="I119" s="66"/>
      <c r="J119" s="66"/>
      <c r="K119" s="66"/>
      <c r="L119" s="66"/>
      <c r="M119" s="66"/>
      <c r="N119" s="67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>
        <v>1</v>
      </c>
      <c r="AD119" s="66">
        <v>1</v>
      </c>
      <c r="AE119" s="66"/>
      <c r="AF119" s="66"/>
      <c r="AG119" s="66">
        <v>1</v>
      </c>
      <c r="AH119" s="66">
        <v>2</v>
      </c>
      <c r="AI119" s="66"/>
      <c r="AJ119" s="66"/>
      <c r="AK119" s="66">
        <v>1</v>
      </c>
      <c r="AL119" s="66"/>
      <c r="AM119" s="66">
        <v>1</v>
      </c>
      <c r="AN119" s="66">
        <v>1</v>
      </c>
      <c r="AO119" s="66"/>
      <c r="AP119" s="66"/>
      <c r="AQ119" s="66"/>
      <c r="AR119" s="66"/>
      <c r="AS119" s="66"/>
      <c r="AT119" s="66"/>
      <c r="AU119" s="66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55"/>
      <c r="BG119" s="70"/>
      <c r="BH119" s="63">
        <f t="shared" si="4"/>
        <v>8</v>
      </c>
      <c r="BI119" s="63">
        <v>6</v>
      </c>
      <c r="BJ119" s="70"/>
      <c r="BK119" s="62">
        <f t="shared" si="5"/>
        <v>2</v>
      </c>
      <c r="BL119" s="63"/>
      <c r="BM119" s="71"/>
      <c r="BN119" s="71"/>
      <c r="BO119" s="71"/>
      <c r="BP119" s="86"/>
      <c r="BQ119" s="86"/>
    </row>
    <row r="120" spans="2:69" ht="18.75" customHeight="1">
      <c r="B120" s="51" t="s">
        <v>242</v>
      </c>
      <c r="C120" s="73" t="s">
        <v>74</v>
      </c>
      <c r="D120" s="53" t="s">
        <v>242</v>
      </c>
      <c r="E120" s="115" t="s">
        <v>243</v>
      </c>
      <c r="F120" s="66"/>
      <c r="G120" s="66"/>
      <c r="H120" s="66"/>
      <c r="I120" s="66"/>
      <c r="J120" s="66"/>
      <c r="K120" s="66"/>
      <c r="L120" s="66"/>
      <c r="M120" s="66"/>
      <c r="N120" s="67"/>
      <c r="O120" s="66"/>
      <c r="P120" s="66"/>
      <c r="Q120" s="66"/>
      <c r="R120" s="66"/>
      <c r="S120" s="66"/>
      <c r="T120" s="66"/>
      <c r="U120" s="66"/>
      <c r="V120" s="66"/>
      <c r="W120" s="66"/>
      <c r="X120" s="66">
        <v>1</v>
      </c>
      <c r="Y120" s="66"/>
      <c r="Z120" s="66"/>
      <c r="AA120" s="66"/>
      <c r="AB120" s="66"/>
      <c r="AC120" s="66"/>
      <c r="AD120" s="66"/>
      <c r="AE120" s="66">
        <v>1</v>
      </c>
      <c r="AF120" s="66"/>
      <c r="AG120" s="66">
        <v>1</v>
      </c>
      <c r="AH120" s="66">
        <v>1</v>
      </c>
      <c r="AI120" s="66"/>
      <c r="AJ120" s="66"/>
      <c r="AK120" s="66"/>
      <c r="AL120" s="66"/>
      <c r="AM120" s="66">
        <v>1</v>
      </c>
      <c r="AN120" s="66"/>
      <c r="AO120" s="66"/>
      <c r="AP120" s="66"/>
      <c r="AQ120" s="66"/>
      <c r="AR120" s="68"/>
      <c r="AS120" s="66"/>
      <c r="AT120" s="66"/>
      <c r="AU120" s="66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55"/>
      <c r="BG120" s="70"/>
      <c r="BH120" s="63">
        <f t="shared" si="4"/>
        <v>5</v>
      </c>
      <c r="BI120" s="63">
        <v>5</v>
      </c>
      <c r="BJ120" s="70"/>
      <c r="BK120" s="62">
        <f t="shared" si="5"/>
        <v>0</v>
      </c>
      <c r="BL120" s="63"/>
      <c r="BM120" s="71"/>
      <c r="BN120" s="71"/>
      <c r="BO120" s="71"/>
    </row>
    <row r="121" spans="2:69" ht="18.95" customHeight="1">
      <c r="B121" s="51" t="s">
        <v>244</v>
      </c>
      <c r="C121" s="73" t="s">
        <v>74</v>
      </c>
      <c r="D121" s="53" t="s">
        <v>244</v>
      </c>
      <c r="E121" s="120" t="s">
        <v>245</v>
      </c>
      <c r="F121" s="66"/>
      <c r="G121" s="66"/>
      <c r="H121" s="66"/>
      <c r="I121" s="66"/>
      <c r="J121" s="66"/>
      <c r="K121" s="66"/>
      <c r="L121" s="66"/>
      <c r="M121" s="66"/>
      <c r="N121" s="67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>
        <v>1</v>
      </c>
      <c r="AH121" s="66"/>
      <c r="AI121" s="66">
        <v>1</v>
      </c>
      <c r="AJ121" s="66"/>
      <c r="AK121" s="66"/>
      <c r="AL121" s="66"/>
      <c r="AM121" s="66">
        <v>1</v>
      </c>
      <c r="AN121" s="66"/>
      <c r="AO121" s="66"/>
      <c r="AP121" s="66"/>
      <c r="AQ121" s="66"/>
      <c r="AR121" s="68"/>
      <c r="AS121" s="66"/>
      <c r="AT121" s="66"/>
      <c r="AU121" s="66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55"/>
      <c r="BG121" s="70"/>
      <c r="BH121" s="63">
        <f t="shared" si="4"/>
        <v>3</v>
      </c>
      <c r="BI121" s="63">
        <v>3</v>
      </c>
      <c r="BJ121" s="70"/>
      <c r="BK121" s="62">
        <f t="shared" si="5"/>
        <v>0</v>
      </c>
      <c r="BL121" s="63"/>
      <c r="BM121" s="71"/>
      <c r="BN121" s="71"/>
      <c r="BO121" s="71"/>
    </row>
    <row r="122" spans="2:69" ht="18.95" customHeight="1">
      <c r="B122" s="51" t="s">
        <v>246</v>
      </c>
      <c r="C122" s="73" t="s">
        <v>74</v>
      </c>
      <c r="D122" s="53" t="s">
        <v>246</v>
      </c>
      <c r="E122" s="120" t="s">
        <v>247</v>
      </c>
      <c r="F122" s="66"/>
      <c r="G122" s="66"/>
      <c r="H122" s="66"/>
      <c r="I122" s="66"/>
      <c r="J122" s="66"/>
      <c r="K122" s="66"/>
      <c r="L122" s="66"/>
      <c r="M122" s="66"/>
      <c r="N122" s="67"/>
      <c r="O122" s="66"/>
      <c r="P122" s="66"/>
      <c r="Q122" s="66"/>
      <c r="R122" s="66"/>
      <c r="S122" s="66"/>
      <c r="T122" s="66"/>
      <c r="U122" s="66"/>
      <c r="V122" s="66"/>
      <c r="W122" s="66"/>
      <c r="X122" s="66">
        <v>1</v>
      </c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>
        <v>1</v>
      </c>
      <c r="AK122" s="66">
        <v>1</v>
      </c>
      <c r="AL122" s="66"/>
      <c r="AM122" s="66"/>
      <c r="AN122" s="66"/>
      <c r="AO122" s="66"/>
      <c r="AP122" s="66"/>
      <c r="AQ122" s="66"/>
      <c r="AR122" s="68"/>
      <c r="AS122" s="66"/>
      <c r="AT122" s="66">
        <v>1</v>
      </c>
      <c r="AU122" s="66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55"/>
      <c r="BG122" s="70"/>
      <c r="BH122" s="63">
        <f t="shared" si="4"/>
        <v>4</v>
      </c>
      <c r="BI122" s="63">
        <v>4</v>
      </c>
      <c r="BJ122" s="70"/>
      <c r="BK122" s="62">
        <f t="shared" si="5"/>
        <v>0</v>
      </c>
      <c r="BL122" s="63"/>
      <c r="BM122" s="71"/>
      <c r="BN122" s="71"/>
      <c r="BO122" s="71"/>
    </row>
    <row r="123" spans="2:69" ht="18.95" customHeight="1">
      <c r="B123" s="51" t="s">
        <v>248</v>
      </c>
      <c r="C123" s="73" t="s">
        <v>74</v>
      </c>
      <c r="D123" s="53" t="s">
        <v>248</v>
      </c>
      <c r="E123" s="120" t="s">
        <v>249</v>
      </c>
      <c r="F123" s="66"/>
      <c r="G123" s="66"/>
      <c r="H123" s="66"/>
      <c r="I123" s="66"/>
      <c r="J123" s="66"/>
      <c r="K123" s="66"/>
      <c r="L123" s="66"/>
      <c r="M123" s="66"/>
      <c r="N123" s="67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>
        <v>1</v>
      </c>
      <c r="AJ123" s="66"/>
      <c r="AK123" s="66"/>
      <c r="AL123" s="66"/>
      <c r="AM123" s="66"/>
      <c r="AN123" s="66"/>
      <c r="AO123" s="66"/>
      <c r="AP123" s="66"/>
      <c r="AQ123" s="66"/>
      <c r="AR123" s="68"/>
      <c r="AS123" s="66"/>
      <c r="AT123" s="66"/>
      <c r="AU123" s="66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55"/>
      <c r="BG123" s="70"/>
      <c r="BH123" s="63">
        <f t="shared" si="4"/>
        <v>1</v>
      </c>
      <c r="BI123" s="63">
        <v>1</v>
      </c>
      <c r="BJ123" s="70"/>
      <c r="BK123" s="62">
        <f t="shared" si="5"/>
        <v>0</v>
      </c>
      <c r="BL123" s="63"/>
      <c r="BM123" s="71"/>
      <c r="BN123" s="71"/>
      <c r="BO123" s="71"/>
    </row>
    <row r="124" spans="2:69" ht="18.95" customHeight="1">
      <c r="B124" s="51" t="s">
        <v>250</v>
      </c>
      <c r="C124" s="73" t="s">
        <v>74</v>
      </c>
      <c r="D124" s="53" t="s">
        <v>250</v>
      </c>
      <c r="E124" s="120" t="s">
        <v>251</v>
      </c>
      <c r="F124" s="66"/>
      <c r="G124" s="66"/>
      <c r="H124" s="66"/>
      <c r="I124" s="66"/>
      <c r="J124" s="66"/>
      <c r="K124" s="66"/>
      <c r="L124" s="66"/>
      <c r="M124" s="66"/>
      <c r="N124" s="67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>
        <v>1</v>
      </c>
      <c r="AR124" s="68"/>
      <c r="AS124" s="66"/>
      <c r="AT124" s="66"/>
      <c r="AU124" s="66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55"/>
      <c r="BG124" s="70"/>
      <c r="BH124" s="63">
        <f t="shared" si="4"/>
        <v>1</v>
      </c>
      <c r="BI124" s="63">
        <v>1</v>
      </c>
      <c r="BJ124" s="70"/>
      <c r="BK124" s="62">
        <f t="shared" si="5"/>
        <v>0</v>
      </c>
      <c r="BL124" s="63"/>
      <c r="BM124" s="71"/>
      <c r="BN124" s="71"/>
      <c r="BO124" s="71"/>
    </row>
    <row r="125" spans="2:69" ht="18.75" customHeight="1">
      <c r="B125" s="51" t="s">
        <v>252</v>
      </c>
      <c r="C125" s="73" t="s">
        <v>74</v>
      </c>
      <c r="D125" s="53" t="s">
        <v>252</v>
      </c>
      <c r="E125" s="120" t="s">
        <v>253</v>
      </c>
      <c r="F125" s="66"/>
      <c r="G125" s="66"/>
      <c r="H125" s="66"/>
      <c r="I125" s="66"/>
      <c r="J125" s="66"/>
      <c r="K125" s="66"/>
      <c r="L125" s="66"/>
      <c r="M125" s="66"/>
      <c r="N125" s="67">
        <v>1</v>
      </c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75"/>
      <c r="AM125" s="66"/>
      <c r="AN125" s="66"/>
      <c r="AO125" s="66"/>
      <c r="AP125" s="66"/>
      <c r="AQ125" s="66"/>
      <c r="AR125" s="68"/>
      <c r="AS125" s="66"/>
      <c r="AT125" s="66"/>
      <c r="AU125" s="66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55"/>
      <c r="BG125" s="70"/>
      <c r="BH125" s="63">
        <f t="shared" si="4"/>
        <v>1</v>
      </c>
      <c r="BI125" s="63">
        <v>1</v>
      </c>
      <c r="BJ125" s="70"/>
      <c r="BK125" s="62">
        <f t="shared" si="5"/>
        <v>0</v>
      </c>
      <c r="BL125" s="63"/>
      <c r="BM125" s="71"/>
      <c r="BN125" s="71"/>
      <c r="BO125" s="71"/>
    </row>
    <row r="126" spans="2:69" ht="18.75" customHeight="1">
      <c r="B126" s="51" t="s">
        <v>254</v>
      </c>
      <c r="C126" s="73" t="s">
        <v>74</v>
      </c>
      <c r="D126" s="53" t="s">
        <v>254</v>
      </c>
      <c r="E126" s="120" t="s">
        <v>255</v>
      </c>
      <c r="F126" s="66"/>
      <c r="G126" s="66"/>
      <c r="H126" s="66"/>
      <c r="I126" s="66"/>
      <c r="J126" s="66"/>
      <c r="K126" s="66"/>
      <c r="L126" s="66"/>
      <c r="M126" s="66"/>
      <c r="N126" s="67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75"/>
      <c r="AM126" s="66"/>
      <c r="AN126" s="66"/>
      <c r="AO126" s="66"/>
      <c r="AP126" s="66"/>
      <c r="AQ126" s="66"/>
      <c r="AR126" s="68"/>
      <c r="AS126" s="66"/>
      <c r="AT126" s="66"/>
      <c r="AU126" s="66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55"/>
      <c r="BG126" s="70"/>
      <c r="BH126" s="63">
        <f t="shared" si="4"/>
        <v>0</v>
      </c>
      <c r="BI126" s="63">
        <v>1</v>
      </c>
      <c r="BJ126" s="70"/>
      <c r="BK126" s="62">
        <f t="shared" si="5"/>
        <v>-1</v>
      </c>
      <c r="BL126" s="63"/>
      <c r="BM126" s="71"/>
      <c r="BN126" s="71"/>
      <c r="BO126" s="71"/>
    </row>
    <row r="127" spans="2:69" ht="18.95" customHeight="1">
      <c r="B127" s="51" t="s">
        <v>256</v>
      </c>
      <c r="C127" s="73" t="s">
        <v>74</v>
      </c>
      <c r="D127" s="53" t="s">
        <v>256</v>
      </c>
      <c r="E127" s="120" t="s">
        <v>257</v>
      </c>
      <c r="F127" s="66"/>
      <c r="G127" s="66"/>
      <c r="H127" s="66"/>
      <c r="I127" s="66"/>
      <c r="J127" s="66"/>
      <c r="K127" s="66"/>
      <c r="L127" s="66"/>
      <c r="M127" s="66"/>
      <c r="N127" s="67"/>
      <c r="O127" s="66"/>
      <c r="P127" s="66"/>
      <c r="Q127" s="66"/>
      <c r="R127" s="66"/>
      <c r="S127" s="66"/>
      <c r="T127" s="66"/>
      <c r="U127" s="66">
        <v>1</v>
      </c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8"/>
      <c r="AS127" s="66"/>
      <c r="AT127" s="66"/>
      <c r="AU127" s="66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55"/>
      <c r="BG127" s="70"/>
      <c r="BH127" s="63">
        <f t="shared" si="4"/>
        <v>1</v>
      </c>
      <c r="BI127" s="63">
        <v>30</v>
      </c>
      <c r="BJ127" s="70"/>
      <c r="BK127" s="62">
        <f t="shared" si="5"/>
        <v>-29</v>
      </c>
      <c r="BL127" s="63"/>
      <c r="BM127" s="71"/>
      <c r="BN127" s="65"/>
      <c r="BO127" s="65"/>
    </row>
    <row r="128" spans="2:69" ht="18.95" customHeight="1">
      <c r="B128" s="51" t="s">
        <v>258</v>
      </c>
      <c r="C128" s="73" t="s">
        <v>74</v>
      </c>
      <c r="D128" s="53" t="s">
        <v>258</v>
      </c>
      <c r="E128" s="115" t="s">
        <v>259</v>
      </c>
      <c r="F128" s="55"/>
      <c r="G128" s="66"/>
      <c r="H128" s="66"/>
      <c r="I128" s="66"/>
      <c r="J128" s="66"/>
      <c r="K128" s="66"/>
      <c r="L128" s="66"/>
      <c r="M128" s="66"/>
      <c r="N128" s="67">
        <v>10</v>
      </c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75"/>
      <c r="AM128" s="66"/>
      <c r="AN128" s="66"/>
      <c r="AO128" s="66"/>
      <c r="AP128" s="66"/>
      <c r="AQ128" s="66"/>
      <c r="AR128" s="68"/>
      <c r="AS128" s="66"/>
      <c r="AT128" s="66"/>
      <c r="AU128" s="66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55"/>
      <c r="BG128" s="70"/>
      <c r="BH128" s="63">
        <f t="shared" si="4"/>
        <v>10</v>
      </c>
      <c r="BI128" s="63">
        <v>10</v>
      </c>
      <c r="BJ128" s="70"/>
      <c r="BK128" s="62">
        <f t="shared" si="5"/>
        <v>0</v>
      </c>
      <c r="BL128" s="63"/>
      <c r="BM128" s="71"/>
      <c r="BN128" s="65"/>
      <c r="BO128" s="65"/>
    </row>
    <row r="129" spans="2:67" ht="18.95" customHeight="1">
      <c r="B129" s="51" t="s">
        <v>260</v>
      </c>
      <c r="C129" s="73" t="s">
        <v>74</v>
      </c>
      <c r="D129" s="53" t="s">
        <v>260</v>
      </c>
      <c r="E129" s="115" t="s">
        <v>261</v>
      </c>
      <c r="F129" s="66"/>
      <c r="G129" s="66"/>
      <c r="H129" s="66"/>
      <c r="I129" s="66"/>
      <c r="J129" s="66"/>
      <c r="K129" s="66"/>
      <c r="L129" s="66"/>
      <c r="M129" s="66"/>
      <c r="N129" s="67">
        <v>10</v>
      </c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8"/>
      <c r="AS129" s="66"/>
      <c r="AT129" s="66"/>
      <c r="AU129" s="66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55"/>
      <c r="BG129" s="70"/>
      <c r="BH129" s="63">
        <f t="shared" si="4"/>
        <v>10</v>
      </c>
      <c r="BI129" s="63">
        <v>10</v>
      </c>
      <c r="BJ129" s="70"/>
      <c r="BK129" s="62">
        <f t="shared" si="5"/>
        <v>0</v>
      </c>
      <c r="BL129" s="63"/>
      <c r="BM129" s="71"/>
      <c r="BN129" s="71"/>
      <c r="BO129" s="71"/>
    </row>
    <row r="130" spans="2:67" ht="18.75" customHeight="1">
      <c r="B130" s="51" t="s">
        <v>262</v>
      </c>
      <c r="C130" s="73" t="s">
        <v>74</v>
      </c>
      <c r="D130" s="53" t="s">
        <v>262</v>
      </c>
      <c r="E130" s="115" t="s">
        <v>263</v>
      </c>
      <c r="F130" s="55"/>
      <c r="G130" s="55"/>
      <c r="H130" s="55"/>
      <c r="I130" s="55"/>
      <c r="J130" s="55"/>
      <c r="K130" s="55"/>
      <c r="L130" s="55"/>
      <c r="M130" s="55"/>
      <c r="N130" s="56">
        <v>10</v>
      </c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76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70"/>
      <c r="BH130" s="63">
        <f t="shared" si="4"/>
        <v>10</v>
      </c>
      <c r="BI130" s="63">
        <v>10</v>
      </c>
      <c r="BJ130" s="70"/>
      <c r="BK130" s="62">
        <f t="shared" si="5"/>
        <v>0</v>
      </c>
      <c r="BL130" s="63"/>
      <c r="BM130" s="71"/>
      <c r="BN130" s="65"/>
      <c r="BO130" s="65"/>
    </row>
    <row r="131" spans="2:67">
      <c r="B131" s="87"/>
      <c r="C131" s="87"/>
      <c r="D131" s="87"/>
      <c r="E131" s="87"/>
    </row>
    <row r="132" spans="2:67">
      <c r="B132" s="87"/>
      <c r="C132" s="87"/>
      <c r="D132" s="87"/>
      <c r="E132" s="87"/>
    </row>
    <row r="133" spans="2:67">
      <c r="B133" s="87"/>
      <c r="C133" s="87"/>
      <c r="D133" s="87"/>
      <c r="E133" s="87"/>
    </row>
    <row r="134" spans="2:67">
      <c r="B134" s="87"/>
      <c r="C134" s="87"/>
      <c r="D134" s="87"/>
      <c r="E134" s="87"/>
    </row>
    <row r="135" spans="2:67">
      <c r="B135" s="87"/>
      <c r="C135" s="87"/>
      <c r="D135" s="87"/>
      <c r="E135" s="87"/>
    </row>
    <row r="136" spans="2:67">
      <c r="B136" s="87"/>
      <c r="C136" s="87"/>
      <c r="D136" s="87"/>
      <c r="E136" s="87"/>
    </row>
    <row r="137" spans="2:67">
      <c r="B137" s="87"/>
      <c r="C137" s="87"/>
      <c r="D137" s="87"/>
      <c r="E137" s="87"/>
    </row>
    <row r="138" spans="2:67">
      <c r="B138" s="87"/>
      <c r="C138" s="87"/>
      <c r="D138" s="87"/>
      <c r="E138" s="87"/>
    </row>
    <row r="139" spans="2:67">
      <c r="B139" s="87"/>
      <c r="C139" s="87"/>
      <c r="D139" s="87"/>
      <c r="E139" s="87"/>
    </row>
    <row r="140" spans="2:67">
      <c r="B140" s="87"/>
      <c r="C140" s="87"/>
      <c r="D140" s="87"/>
      <c r="E140" s="87"/>
    </row>
    <row r="141" spans="2:67">
      <c r="B141" s="87"/>
      <c r="C141" s="87"/>
      <c r="D141" s="87"/>
      <c r="E141" s="87"/>
    </row>
    <row r="142" spans="2:67">
      <c r="B142" s="87"/>
      <c r="C142" s="87"/>
      <c r="D142" s="87"/>
      <c r="E142" s="87"/>
    </row>
    <row r="143" spans="2:67">
      <c r="B143" s="2" t="s">
        <v>1</v>
      </c>
      <c r="C143" s="2"/>
      <c r="D143" s="2"/>
      <c r="E143" s="2"/>
      <c r="F143" s="3"/>
      <c r="G143" s="4"/>
      <c r="H143" s="4"/>
      <c r="I143" s="4"/>
      <c r="J143" s="4"/>
      <c r="K143" s="4"/>
      <c r="L143" s="4"/>
      <c r="M143" s="4"/>
      <c r="N143" s="107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5"/>
      <c r="AF143" s="5"/>
      <c r="AG143" s="5"/>
      <c r="AH143" s="5"/>
      <c r="AI143" s="5"/>
      <c r="AJ143" s="5"/>
      <c r="AK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7"/>
      <c r="BI143" s="7"/>
      <c r="BJ143" s="5"/>
      <c r="BK143" s="5"/>
      <c r="BM143" s="5"/>
      <c r="BN143" s="5"/>
      <c r="BO143" s="5"/>
    </row>
    <row r="144" spans="2:67" ht="18.75" customHeight="1">
      <c r="B144" s="2"/>
      <c r="C144" s="2"/>
      <c r="D144" s="2"/>
      <c r="E144" s="2"/>
      <c r="F144" s="1" t="s"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9" t="s">
        <v>264</v>
      </c>
      <c r="BG144" s="10"/>
      <c r="BH144" s="10"/>
      <c r="BI144" s="10"/>
      <c r="BJ144" s="10"/>
      <c r="BK144" s="10"/>
      <c r="BL144" s="10"/>
      <c r="BM144" s="10"/>
      <c r="BN144" s="10"/>
      <c r="BO144" s="11"/>
    </row>
    <row r="145" spans="2:67">
      <c r="B145" s="12"/>
      <c r="C145" s="12"/>
      <c r="D145" s="12"/>
      <c r="E145" s="12"/>
      <c r="F145" s="13"/>
      <c r="G145" s="14" t="s">
        <v>3</v>
      </c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"/>
      <c r="AM145" s="15"/>
      <c r="AN145" s="15"/>
      <c r="AO145" s="15"/>
      <c r="AP145" s="15"/>
      <c r="AQ145" s="15"/>
      <c r="AR145" s="17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8"/>
      <c r="BM145" s="15"/>
      <c r="BN145" s="15"/>
      <c r="BO145" s="15"/>
    </row>
    <row r="146" spans="2:67" ht="15">
      <c r="B146" s="19" t="s">
        <v>4</v>
      </c>
      <c r="C146" s="20" t="s">
        <v>5</v>
      </c>
      <c r="D146" s="20"/>
      <c r="E146" s="21" t="s">
        <v>6</v>
      </c>
      <c r="F146" s="110" t="s">
        <v>135</v>
      </c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24" t="s">
        <v>8</v>
      </c>
      <c r="BG146" s="25"/>
      <c r="BH146" s="25"/>
      <c r="BI146" s="26"/>
      <c r="BJ146" s="31" t="s">
        <v>9</v>
      </c>
      <c r="BK146" s="32"/>
      <c r="BL146" s="29"/>
      <c r="BM146" s="30"/>
      <c r="BN146" s="31" t="s">
        <v>10</v>
      </c>
      <c r="BO146" s="32"/>
    </row>
    <row r="147" spans="2:67" ht="110.1" customHeight="1">
      <c r="B147" s="33"/>
      <c r="C147" s="34" t="s">
        <v>11</v>
      </c>
      <c r="D147" s="35" t="s">
        <v>4</v>
      </c>
      <c r="E147" s="35" t="s">
        <v>12</v>
      </c>
      <c r="F147" s="36" t="s">
        <v>13</v>
      </c>
      <c r="G147" s="36" t="s">
        <v>14</v>
      </c>
      <c r="H147" s="36" t="s">
        <v>15</v>
      </c>
      <c r="I147" s="36" t="s">
        <v>16</v>
      </c>
      <c r="J147" s="36" t="s">
        <v>17</v>
      </c>
      <c r="K147" s="36" t="s">
        <v>18</v>
      </c>
      <c r="L147" s="36" t="s">
        <v>19</v>
      </c>
      <c r="M147" s="36" t="s">
        <v>20</v>
      </c>
      <c r="N147" s="37" t="s">
        <v>21</v>
      </c>
      <c r="O147" s="36" t="s">
        <v>22</v>
      </c>
      <c r="P147" s="36" t="s">
        <v>23</v>
      </c>
      <c r="Q147" s="36" t="s">
        <v>24</v>
      </c>
      <c r="R147" s="36" t="s">
        <v>25</v>
      </c>
      <c r="S147" s="36" t="s">
        <v>26</v>
      </c>
      <c r="T147" s="36" t="s">
        <v>27</v>
      </c>
      <c r="U147" s="36" t="s">
        <v>28</v>
      </c>
      <c r="V147" s="36" t="s">
        <v>29</v>
      </c>
      <c r="W147" s="36" t="s">
        <v>30</v>
      </c>
      <c r="X147" s="38" t="s">
        <v>31</v>
      </c>
      <c r="Y147" s="36" t="s">
        <v>32</v>
      </c>
      <c r="Z147" s="36" t="s">
        <v>33</v>
      </c>
      <c r="AA147" s="36" t="s">
        <v>34</v>
      </c>
      <c r="AB147" s="38" t="s">
        <v>35</v>
      </c>
      <c r="AC147" s="36" t="s">
        <v>36</v>
      </c>
      <c r="AD147" s="39" t="s">
        <v>37</v>
      </c>
      <c r="AE147" s="36" t="s">
        <v>38</v>
      </c>
      <c r="AF147" s="40" t="s">
        <v>39</v>
      </c>
      <c r="AG147" s="40" t="s">
        <v>40</v>
      </c>
      <c r="AH147" s="40" t="s">
        <v>41</v>
      </c>
      <c r="AI147" s="40" t="s">
        <v>42</v>
      </c>
      <c r="AJ147" s="40" t="s">
        <v>43</v>
      </c>
      <c r="AK147" s="40" t="s">
        <v>44</v>
      </c>
      <c r="AL147" s="41" t="s">
        <v>45</v>
      </c>
      <c r="AM147" s="42" t="s">
        <v>46</v>
      </c>
      <c r="AN147" s="43" t="s">
        <v>47</v>
      </c>
      <c r="AO147" s="40" t="s">
        <v>48</v>
      </c>
      <c r="AP147" s="40" t="s">
        <v>49</v>
      </c>
      <c r="AQ147" s="40" t="s">
        <v>50</v>
      </c>
      <c r="AR147" s="44" t="s">
        <v>136</v>
      </c>
      <c r="AS147" s="36" t="s">
        <v>52</v>
      </c>
      <c r="AT147" s="36" t="s">
        <v>53</v>
      </c>
      <c r="AU147" s="36" t="s">
        <v>54</v>
      </c>
      <c r="AV147" s="36" t="s">
        <v>55</v>
      </c>
      <c r="AW147" s="36" t="s">
        <v>56</v>
      </c>
      <c r="AX147" s="36" t="s">
        <v>203</v>
      </c>
      <c r="AY147" s="36" t="s">
        <v>58</v>
      </c>
      <c r="AZ147" s="38" t="s">
        <v>59</v>
      </c>
      <c r="BA147" s="36" t="s">
        <v>60</v>
      </c>
      <c r="BB147" s="36" t="s">
        <v>61</v>
      </c>
      <c r="BC147" s="39" t="s">
        <v>62</v>
      </c>
      <c r="BD147" s="36" t="s">
        <v>63</v>
      </c>
      <c r="BE147" s="36" t="s">
        <v>64</v>
      </c>
      <c r="BF147" s="45" t="s">
        <v>65</v>
      </c>
      <c r="BG147" s="45" t="s">
        <v>66</v>
      </c>
      <c r="BH147" s="45" t="s">
        <v>67</v>
      </c>
      <c r="BI147" s="45" t="s">
        <v>68</v>
      </c>
      <c r="BJ147" s="46" t="s">
        <v>69</v>
      </c>
      <c r="BK147" s="46" t="s">
        <v>70</v>
      </c>
      <c r="BL147" s="47" t="s">
        <v>71</v>
      </c>
      <c r="BM147" s="48" t="s">
        <v>72</v>
      </c>
      <c r="BN147" s="49" t="s">
        <v>69</v>
      </c>
      <c r="BO147" s="50" t="s">
        <v>70</v>
      </c>
    </row>
    <row r="148" spans="2:67" ht="18.95" customHeight="1">
      <c r="B148" s="51" t="s">
        <v>265</v>
      </c>
      <c r="C148" s="52" t="s">
        <v>74</v>
      </c>
      <c r="D148" s="121">
        <v>91</v>
      </c>
      <c r="E148" s="115" t="s">
        <v>266</v>
      </c>
      <c r="F148" s="55"/>
      <c r="G148" s="55"/>
      <c r="H148" s="55"/>
      <c r="I148" s="55"/>
      <c r="J148" s="55"/>
      <c r="K148" s="55"/>
      <c r="L148" s="55"/>
      <c r="M148" s="55"/>
      <c r="N148" s="56">
        <v>10</v>
      </c>
      <c r="O148" s="55"/>
      <c r="P148" s="55"/>
      <c r="Q148" s="57"/>
      <c r="R148" s="55"/>
      <c r="S148" s="58"/>
      <c r="T148" s="58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7"/>
      <c r="AF148" s="57"/>
      <c r="AG148" s="57"/>
      <c r="AH148" s="57"/>
      <c r="AI148" s="57"/>
      <c r="AJ148" s="57"/>
      <c r="AK148" s="57"/>
      <c r="AL148" s="59"/>
      <c r="AM148" s="57"/>
      <c r="AN148" s="57"/>
      <c r="AO148" s="55"/>
      <c r="AP148" s="55"/>
      <c r="AQ148" s="57"/>
      <c r="AR148" s="60"/>
      <c r="AS148" s="57"/>
      <c r="AT148" s="57"/>
      <c r="AU148" s="57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55"/>
      <c r="BG148" s="62"/>
      <c r="BH148" s="63">
        <f t="shared" ref="BH148:BH177" si="6">SUM(F148:BG148)</f>
        <v>10</v>
      </c>
      <c r="BI148" s="64">
        <v>10</v>
      </c>
      <c r="BJ148" s="62"/>
      <c r="BK148" s="62">
        <f>BH148-BI148</f>
        <v>0</v>
      </c>
      <c r="BL148" s="64"/>
      <c r="BM148" s="65"/>
      <c r="BN148" s="65"/>
      <c r="BO148" s="65"/>
    </row>
    <row r="149" spans="2:67" ht="18.75" customHeight="1">
      <c r="B149" s="51" t="s">
        <v>267</v>
      </c>
      <c r="C149" s="52" t="s">
        <v>74</v>
      </c>
      <c r="D149" s="121">
        <v>92</v>
      </c>
      <c r="E149" s="115" t="s">
        <v>268</v>
      </c>
      <c r="F149" s="66"/>
      <c r="G149" s="66"/>
      <c r="H149" s="66"/>
      <c r="I149" s="66"/>
      <c r="J149" s="66"/>
      <c r="K149" s="66"/>
      <c r="L149" s="66"/>
      <c r="M149" s="66"/>
      <c r="N149" s="67">
        <v>10</v>
      </c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8"/>
      <c r="AS149" s="66"/>
      <c r="AT149" s="66"/>
      <c r="AU149" s="66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55"/>
      <c r="BG149" s="70"/>
      <c r="BH149" s="63">
        <f t="shared" si="6"/>
        <v>10</v>
      </c>
      <c r="BI149" s="63">
        <v>10</v>
      </c>
      <c r="BJ149" s="70"/>
      <c r="BK149" s="62">
        <f t="shared" ref="BK149:BK177" si="7">BH149-BI149</f>
        <v>0</v>
      </c>
      <c r="BL149" s="63"/>
      <c r="BM149" s="71"/>
      <c r="BN149" s="71"/>
      <c r="BO149" s="72"/>
    </row>
    <row r="150" spans="2:67" ht="18.95" customHeight="1">
      <c r="B150" s="51" t="s">
        <v>269</v>
      </c>
      <c r="C150" s="73" t="s">
        <v>74</v>
      </c>
      <c r="D150" s="121">
        <v>93</v>
      </c>
      <c r="E150" s="115" t="s">
        <v>270</v>
      </c>
      <c r="F150" s="66"/>
      <c r="G150" s="66"/>
      <c r="H150" s="66"/>
      <c r="I150" s="66"/>
      <c r="J150" s="66"/>
      <c r="K150" s="66"/>
      <c r="L150" s="66"/>
      <c r="M150" s="66"/>
      <c r="N150" s="67"/>
      <c r="O150" s="66"/>
      <c r="P150" s="66"/>
      <c r="Q150" s="66"/>
      <c r="R150" s="66"/>
      <c r="S150" s="66"/>
      <c r="T150" s="66">
        <v>1</v>
      </c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8"/>
      <c r="AS150" s="66"/>
      <c r="AT150" s="66"/>
      <c r="AU150" s="66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55"/>
      <c r="BG150" s="70"/>
      <c r="BH150" s="63">
        <f t="shared" si="6"/>
        <v>1</v>
      </c>
      <c r="BI150" s="63">
        <v>1</v>
      </c>
      <c r="BJ150" s="70"/>
      <c r="BK150" s="62">
        <f t="shared" si="7"/>
        <v>0</v>
      </c>
      <c r="BL150" s="63"/>
      <c r="BM150" s="71"/>
      <c r="BN150" s="72"/>
      <c r="BO150" s="71"/>
    </row>
    <row r="151" spans="2:67" ht="18.75" customHeight="1">
      <c r="B151" s="51" t="s">
        <v>271</v>
      </c>
      <c r="C151" s="73" t="s">
        <v>74</v>
      </c>
      <c r="D151" s="121">
        <v>94</v>
      </c>
      <c r="E151" s="115" t="s">
        <v>272</v>
      </c>
      <c r="F151" s="66"/>
      <c r="G151" s="66"/>
      <c r="H151" s="66"/>
      <c r="I151" s="66">
        <v>1</v>
      </c>
      <c r="J151" s="66"/>
      <c r="K151" s="66">
        <v>1</v>
      </c>
      <c r="L151" s="66"/>
      <c r="M151" s="66"/>
      <c r="N151" s="67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8"/>
      <c r="AS151" s="66"/>
      <c r="AT151" s="66"/>
      <c r="AU151" s="66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55"/>
      <c r="BG151" s="70"/>
      <c r="BH151" s="63">
        <f t="shared" si="6"/>
        <v>2</v>
      </c>
      <c r="BI151" s="63">
        <v>2</v>
      </c>
      <c r="BJ151" s="70"/>
      <c r="BK151" s="62">
        <f t="shared" si="7"/>
        <v>0</v>
      </c>
      <c r="BL151" s="63"/>
      <c r="BM151" s="71"/>
      <c r="BN151" s="71"/>
      <c r="BO151" s="71"/>
    </row>
    <row r="152" spans="2:67" ht="18.95" customHeight="1">
      <c r="B152" s="51" t="s">
        <v>273</v>
      </c>
      <c r="C152" s="73" t="s">
        <v>74</v>
      </c>
      <c r="D152" s="121">
        <v>95</v>
      </c>
      <c r="E152" s="115" t="s">
        <v>274</v>
      </c>
      <c r="F152" s="66"/>
      <c r="G152" s="66"/>
      <c r="H152" s="66"/>
      <c r="I152" s="66"/>
      <c r="J152" s="66"/>
      <c r="K152" s="66"/>
      <c r="L152" s="66"/>
      <c r="M152" s="66"/>
      <c r="N152" s="67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>
        <v>1</v>
      </c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8"/>
      <c r="AS152" s="66"/>
      <c r="AT152" s="66"/>
      <c r="AU152" s="66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55"/>
      <c r="BG152" s="70"/>
      <c r="BH152" s="63">
        <f t="shared" si="6"/>
        <v>1</v>
      </c>
      <c r="BI152" s="63">
        <v>1</v>
      </c>
      <c r="BJ152" s="70"/>
      <c r="BK152" s="62">
        <f t="shared" si="7"/>
        <v>0</v>
      </c>
      <c r="BL152" s="63"/>
      <c r="BM152" s="71"/>
      <c r="BN152" s="71"/>
      <c r="BO152" s="71"/>
    </row>
    <row r="153" spans="2:67" ht="30" customHeight="1">
      <c r="B153" s="51" t="s">
        <v>275</v>
      </c>
      <c r="C153" s="73" t="s">
        <v>74</v>
      </c>
      <c r="D153" s="121">
        <v>96</v>
      </c>
      <c r="E153" s="114" t="s">
        <v>276</v>
      </c>
      <c r="F153" s="66"/>
      <c r="G153" s="66"/>
      <c r="H153" s="66"/>
      <c r="I153" s="66"/>
      <c r="J153" s="66"/>
      <c r="K153" s="66"/>
      <c r="L153" s="66"/>
      <c r="M153" s="66"/>
      <c r="N153" s="67"/>
      <c r="O153" s="66"/>
      <c r="P153" s="66"/>
      <c r="Q153" s="66"/>
      <c r="R153" s="66"/>
      <c r="S153" s="66"/>
      <c r="T153" s="66">
        <v>1</v>
      </c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8"/>
      <c r="AS153" s="66"/>
      <c r="AT153" s="66"/>
      <c r="AU153" s="66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55"/>
      <c r="BG153" s="70"/>
      <c r="BH153" s="63">
        <f t="shared" si="6"/>
        <v>1</v>
      </c>
      <c r="BI153" s="63">
        <v>1</v>
      </c>
      <c r="BJ153" s="70"/>
      <c r="BK153" s="62">
        <f t="shared" si="7"/>
        <v>0</v>
      </c>
      <c r="BL153" s="63"/>
      <c r="BM153" s="71"/>
      <c r="BN153" s="71"/>
      <c r="BO153" s="71"/>
    </row>
    <row r="154" spans="2:67" ht="18.75" customHeight="1">
      <c r="B154" s="51" t="s">
        <v>277</v>
      </c>
      <c r="C154" s="73" t="s">
        <v>74</v>
      </c>
      <c r="D154" s="121">
        <v>97</v>
      </c>
      <c r="E154" s="115" t="s">
        <v>278</v>
      </c>
      <c r="F154" s="66"/>
      <c r="G154" s="66"/>
      <c r="H154" s="66"/>
      <c r="I154" s="66">
        <v>10</v>
      </c>
      <c r="J154" s="66"/>
      <c r="K154" s="66"/>
      <c r="L154" s="66"/>
      <c r="M154" s="66"/>
      <c r="N154" s="67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8"/>
      <c r="AS154" s="66"/>
      <c r="AT154" s="66"/>
      <c r="AU154" s="66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55"/>
      <c r="BG154" s="70"/>
      <c r="BH154" s="63">
        <f t="shared" si="6"/>
        <v>10</v>
      </c>
      <c r="BI154" s="63">
        <v>20</v>
      </c>
      <c r="BJ154" s="70"/>
      <c r="BK154" s="62">
        <f t="shared" si="7"/>
        <v>-10</v>
      </c>
      <c r="BL154" s="63"/>
      <c r="BM154" s="71"/>
      <c r="BN154" s="71"/>
      <c r="BO154" s="71"/>
    </row>
    <row r="155" spans="2:67" ht="18.95" customHeight="1">
      <c r="B155" s="51" t="s">
        <v>279</v>
      </c>
      <c r="C155" s="73" t="s">
        <v>74</v>
      </c>
      <c r="D155" s="121">
        <v>98</v>
      </c>
      <c r="E155" s="122" t="s">
        <v>280</v>
      </c>
      <c r="F155" s="66"/>
      <c r="G155" s="66"/>
      <c r="H155" s="66"/>
      <c r="I155" s="66">
        <v>1</v>
      </c>
      <c r="J155" s="66"/>
      <c r="K155" s="66">
        <v>1</v>
      </c>
      <c r="L155" s="66"/>
      <c r="M155" s="66"/>
      <c r="N155" s="67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8"/>
      <c r="AS155" s="66"/>
      <c r="AT155" s="66"/>
      <c r="AU155" s="66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55"/>
      <c r="BG155" s="70"/>
      <c r="BH155" s="63">
        <f t="shared" si="6"/>
        <v>2</v>
      </c>
      <c r="BI155" s="63">
        <v>5</v>
      </c>
      <c r="BJ155" s="70"/>
      <c r="BK155" s="62">
        <f t="shared" si="7"/>
        <v>-3</v>
      </c>
      <c r="BL155" s="63"/>
      <c r="BM155" s="71"/>
      <c r="BN155" s="71"/>
      <c r="BO155" s="71"/>
    </row>
    <row r="156" spans="2:67" ht="18.95" customHeight="1">
      <c r="B156" s="51" t="s">
        <v>281</v>
      </c>
      <c r="C156" s="73" t="s">
        <v>74</v>
      </c>
      <c r="D156" s="121">
        <v>99</v>
      </c>
      <c r="E156" s="122" t="s">
        <v>282</v>
      </c>
      <c r="F156" s="66"/>
      <c r="G156" s="66"/>
      <c r="H156" s="66"/>
      <c r="I156" s="66"/>
      <c r="J156" s="66"/>
      <c r="K156" s="66">
        <v>1</v>
      </c>
      <c r="L156" s="66"/>
      <c r="M156" s="66"/>
      <c r="N156" s="67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8"/>
      <c r="AS156" s="66"/>
      <c r="AT156" s="66"/>
      <c r="AU156" s="66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55"/>
      <c r="BG156" s="70"/>
      <c r="BH156" s="63">
        <f t="shared" si="6"/>
        <v>1</v>
      </c>
      <c r="BI156" s="63">
        <v>2</v>
      </c>
      <c r="BJ156" s="70"/>
      <c r="BK156" s="62">
        <f t="shared" si="7"/>
        <v>-1</v>
      </c>
      <c r="BL156" s="63"/>
      <c r="BM156" s="71"/>
      <c r="BN156" s="71"/>
      <c r="BO156" s="71"/>
    </row>
    <row r="157" spans="2:67" ht="18.75" customHeight="1">
      <c r="B157" s="51" t="s">
        <v>283</v>
      </c>
      <c r="C157" s="73" t="s">
        <v>74</v>
      </c>
      <c r="D157" s="121">
        <v>100</v>
      </c>
      <c r="E157" s="122" t="s">
        <v>284</v>
      </c>
      <c r="F157" s="66"/>
      <c r="G157" s="66"/>
      <c r="H157" s="66"/>
      <c r="I157" s="66"/>
      <c r="J157" s="66"/>
      <c r="K157" s="66"/>
      <c r="L157" s="66"/>
      <c r="M157" s="66"/>
      <c r="N157" s="67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8"/>
      <c r="AS157" s="66"/>
      <c r="AT157" s="66"/>
      <c r="AU157" s="66">
        <v>4</v>
      </c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55"/>
      <c r="BG157" s="70"/>
      <c r="BH157" s="63">
        <f t="shared" si="6"/>
        <v>4</v>
      </c>
      <c r="BI157" s="63">
        <v>4</v>
      </c>
      <c r="BJ157" s="70"/>
      <c r="BK157" s="62">
        <f t="shared" si="7"/>
        <v>0</v>
      </c>
      <c r="BL157" s="63"/>
      <c r="BM157" s="71"/>
      <c r="BN157" s="71"/>
      <c r="BO157" s="71"/>
    </row>
    <row r="158" spans="2:67" ht="18.95" customHeight="1">
      <c r="B158" s="51" t="s">
        <v>285</v>
      </c>
      <c r="C158" s="73" t="s">
        <v>74</v>
      </c>
      <c r="D158" s="121">
        <v>101</v>
      </c>
      <c r="E158" s="122" t="s">
        <v>286</v>
      </c>
      <c r="F158" s="66"/>
      <c r="G158" s="66"/>
      <c r="H158" s="66"/>
      <c r="I158" s="66">
        <v>1</v>
      </c>
      <c r="J158" s="66"/>
      <c r="K158" s="66"/>
      <c r="L158" s="66"/>
      <c r="M158" s="66"/>
      <c r="N158" s="67"/>
      <c r="O158" s="66"/>
      <c r="P158" s="66"/>
      <c r="Q158" s="66">
        <v>4</v>
      </c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>
        <v>2</v>
      </c>
      <c r="AI158" s="66"/>
      <c r="AJ158" s="66">
        <v>1</v>
      </c>
      <c r="AK158" s="66"/>
      <c r="AL158" s="66"/>
      <c r="AM158" s="66"/>
      <c r="AN158" s="66">
        <v>1</v>
      </c>
      <c r="AO158" s="66"/>
      <c r="AP158" s="66"/>
      <c r="AQ158" s="66"/>
      <c r="AR158" s="68"/>
      <c r="AS158" s="66"/>
      <c r="AT158" s="66"/>
      <c r="AU158" s="66">
        <v>1</v>
      </c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55"/>
      <c r="BG158" s="70"/>
      <c r="BH158" s="63">
        <f t="shared" si="6"/>
        <v>10</v>
      </c>
      <c r="BI158" s="63">
        <v>10</v>
      </c>
      <c r="BJ158" s="70"/>
      <c r="BK158" s="62">
        <f t="shared" si="7"/>
        <v>0</v>
      </c>
      <c r="BL158" s="63"/>
      <c r="BM158" s="71"/>
      <c r="BN158" s="71"/>
      <c r="BO158" s="71"/>
    </row>
    <row r="159" spans="2:67" ht="18.95" customHeight="1">
      <c r="B159" s="51" t="s">
        <v>287</v>
      </c>
      <c r="C159" s="73" t="s">
        <v>74</v>
      </c>
      <c r="D159" s="121">
        <v>102</v>
      </c>
      <c r="E159" s="123" t="s">
        <v>288</v>
      </c>
      <c r="F159" s="66"/>
      <c r="G159" s="66"/>
      <c r="H159" s="66"/>
      <c r="I159" s="66"/>
      <c r="J159" s="66"/>
      <c r="K159" s="66"/>
      <c r="L159" s="66"/>
      <c r="M159" s="66"/>
      <c r="N159" s="67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>
        <v>1</v>
      </c>
      <c r="AA159" s="66"/>
      <c r="AB159" s="66"/>
      <c r="AC159" s="66"/>
      <c r="AD159" s="66"/>
      <c r="AE159" s="66"/>
      <c r="AF159" s="66"/>
      <c r="AG159" s="66"/>
      <c r="AH159" s="66">
        <v>1</v>
      </c>
      <c r="AI159" s="66"/>
      <c r="AJ159" s="66"/>
      <c r="AK159" s="66">
        <v>1</v>
      </c>
      <c r="AL159" s="66"/>
      <c r="AM159" s="66">
        <v>1</v>
      </c>
      <c r="AN159" s="66">
        <v>1</v>
      </c>
      <c r="AO159" s="66"/>
      <c r="AP159" s="66"/>
      <c r="AQ159" s="66"/>
      <c r="AR159" s="68"/>
      <c r="AS159" s="66"/>
      <c r="AT159" s="66"/>
      <c r="AU159" s="66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55"/>
      <c r="BG159" s="70"/>
      <c r="BH159" s="63">
        <f t="shared" si="6"/>
        <v>5</v>
      </c>
      <c r="BI159" s="63">
        <v>8</v>
      </c>
      <c r="BJ159" s="70"/>
      <c r="BK159" s="62">
        <f t="shared" si="7"/>
        <v>-3</v>
      </c>
      <c r="BL159" s="63"/>
      <c r="BM159" s="71"/>
      <c r="BN159" s="71"/>
      <c r="BO159" s="71"/>
    </row>
    <row r="160" spans="2:67" ht="18.75" customHeight="1">
      <c r="B160" s="51" t="s">
        <v>289</v>
      </c>
      <c r="C160" s="73" t="s">
        <v>74</v>
      </c>
      <c r="D160" s="121">
        <v>103</v>
      </c>
      <c r="E160" s="123" t="s">
        <v>290</v>
      </c>
      <c r="F160" s="66"/>
      <c r="G160" s="66"/>
      <c r="H160" s="66"/>
      <c r="I160" s="66"/>
      <c r="J160" s="66"/>
      <c r="K160" s="66"/>
      <c r="L160" s="66"/>
      <c r="M160" s="66"/>
      <c r="N160" s="67"/>
      <c r="O160" s="66"/>
      <c r="P160" s="66"/>
      <c r="Q160" s="66"/>
      <c r="R160" s="66"/>
      <c r="S160" s="66"/>
      <c r="T160" s="66"/>
      <c r="U160" s="66">
        <v>1</v>
      </c>
      <c r="V160" s="66">
        <v>1</v>
      </c>
      <c r="W160" s="66"/>
      <c r="X160" s="66">
        <v>1</v>
      </c>
      <c r="Y160" s="66"/>
      <c r="Z160" s="66"/>
      <c r="AA160" s="66"/>
      <c r="AB160" s="66"/>
      <c r="AC160" s="66"/>
      <c r="AD160" s="66">
        <v>1</v>
      </c>
      <c r="AE160" s="66"/>
      <c r="AF160" s="66"/>
      <c r="AG160" s="66">
        <v>1</v>
      </c>
      <c r="AH160" s="66"/>
      <c r="AI160" s="66"/>
      <c r="AJ160" s="66"/>
      <c r="AK160" s="66"/>
      <c r="AL160" s="66">
        <v>1</v>
      </c>
      <c r="AM160" s="66"/>
      <c r="AN160" s="66"/>
      <c r="AO160" s="66"/>
      <c r="AP160" s="66"/>
      <c r="AQ160" s="66">
        <v>1</v>
      </c>
      <c r="AR160" s="68"/>
      <c r="AS160" s="66"/>
      <c r="AT160" s="66">
        <v>1</v>
      </c>
      <c r="AU160" s="66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55"/>
      <c r="BG160" s="70"/>
      <c r="BH160" s="63">
        <f t="shared" si="6"/>
        <v>8</v>
      </c>
      <c r="BI160" s="63">
        <v>7</v>
      </c>
      <c r="BJ160" s="70"/>
      <c r="BK160" s="62">
        <f t="shared" si="7"/>
        <v>1</v>
      </c>
      <c r="BL160" s="63"/>
      <c r="BM160" s="71"/>
      <c r="BN160" s="71"/>
      <c r="BO160" s="71"/>
    </row>
    <row r="161" spans="2:67" ht="18.75" customHeight="1">
      <c r="B161" s="51" t="s">
        <v>291</v>
      </c>
      <c r="C161" s="73" t="s">
        <v>74</v>
      </c>
      <c r="D161" s="121">
        <v>104</v>
      </c>
      <c r="E161" s="124" t="s">
        <v>292</v>
      </c>
      <c r="F161" s="66"/>
      <c r="G161" s="66"/>
      <c r="H161" s="66"/>
      <c r="I161" s="66"/>
      <c r="J161" s="66"/>
      <c r="K161" s="66"/>
      <c r="L161" s="66"/>
      <c r="M161" s="66"/>
      <c r="N161" s="67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55"/>
      <c r="BG161" s="70"/>
      <c r="BH161" s="63">
        <f t="shared" si="6"/>
        <v>0</v>
      </c>
      <c r="BI161" s="63">
        <v>8</v>
      </c>
      <c r="BJ161" s="125"/>
      <c r="BK161" s="62">
        <f t="shared" si="7"/>
        <v>-8</v>
      </c>
      <c r="BL161" s="126"/>
      <c r="BM161" s="71"/>
      <c r="BN161" s="71"/>
      <c r="BO161" s="71"/>
    </row>
    <row r="162" spans="2:67" ht="18.95" customHeight="1">
      <c r="B162" s="51" t="s">
        <v>293</v>
      </c>
      <c r="C162" s="73" t="s">
        <v>74</v>
      </c>
      <c r="D162" s="121">
        <v>105</v>
      </c>
      <c r="E162" s="114" t="s">
        <v>294</v>
      </c>
      <c r="F162" s="66"/>
      <c r="G162" s="66"/>
      <c r="H162" s="66"/>
      <c r="I162" s="66"/>
      <c r="J162" s="66"/>
      <c r="K162" s="66"/>
      <c r="L162" s="66"/>
      <c r="M162" s="66"/>
      <c r="N162" s="67"/>
      <c r="O162" s="66"/>
      <c r="P162" s="66"/>
      <c r="Q162" s="66"/>
      <c r="R162" s="66"/>
      <c r="S162" s="66"/>
      <c r="T162" s="66">
        <v>2</v>
      </c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8"/>
      <c r="AS162" s="66"/>
      <c r="AT162" s="66"/>
      <c r="AU162" s="66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55"/>
      <c r="BG162" s="70"/>
      <c r="BH162" s="63">
        <f t="shared" si="6"/>
        <v>2</v>
      </c>
      <c r="BI162" s="63">
        <v>2</v>
      </c>
      <c r="BJ162" s="70"/>
      <c r="BK162" s="62">
        <f t="shared" si="7"/>
        <v>0</v>
      </c>
      <c r="BL162" s="63"/>
      <c r="BM162" s="71"/>
      <c r="BN162" s="71"/>
      <c r="BO162" s="71"/>
    </row>
    <row r="163" spans="2:67" ht="18.95" customHeight="1">
      <c r="B163" s="51" t="s">
        <v>295</v>
      </c>
      <c r="C163" s="73" t="s">
        <v>74</v>
      </c>
      <c r="D163" s="121">
        <v>106</v>
      </c>
      <c r="E163" s="114" t="s">
        <v>296</v>
      </c>
      <c r="F163" s="66"/>
      <c r="G163" s="66"/>
      <c r="H163" s="66"/>
      <c r="I163" s="66"/>
      <c r="J163" s="66"/>
      <c r="K163" s="66"/>
      <c r="L163" s="66"/>
      <c r="M163" s="66"/>
      <c r="N163" s="67">
        <v>2</v>
      </c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8"/>
      <c r="AS163" s="66"/>
      <c r="AT163" s="66"/>
      <c r="AU163" s="66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55"/>
      <c r="BG163" s="70"/>
      <c r="BH163" s="63">
        <f t="shared" si="6"/>
        <v>2</v>
      </c>
      <c r="BI163" s="63">
        <v>2</v>
      </c>
      <c r="BJ163" s="70"/>
      <c r="BK163" s="62">
        <f t="shared" si="7"/>
        <v>0</v>
      </c>
      <c r="BL163" s="63"/>
      <c r="BM163" s="71"/>
      <c r="BN163" s="71"/>
      <c r="BO163" s="71"/>
    </row>
    <row r="164" spans="2:67" ht="30" customHeight="1">
      <c r="B164" s="51" t="s">
        <v>297</v>
      </c>
      <c r="C164" s="52" t="s">
        <v>74</v>
      </c>
      <c r="D164" s="121">
        <v>107</v>
      </c>
      <c r="E164" s="114" t="s">
        <v>298</v>
      </c>
      <c r="F164" s="66"/>
      <c r="G164" s="66"/>
      <c r="H164" s="66"/>
      <c r="I164" s="66"/>
      <c r="J164" s="66"/>
      <c r="K164" s="66"/>
      <c r="L164" s="66"/>
      <c r="M164" s="66"/>
      <c r="N164" s="67">
        <v>15</v>
      </c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8"/>
      <c r="AS164" s="66"/>
      <c r="AT164" s="66"/>
      <c r="AU164" s="66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55"/>
      <c r="BG164" s="70"/>
      <c r="BH164" s="63">
        <f t="shared" si="6"/>
        <v>15</v>
      </c>
      <c r="BI164" s="63">
        <v>15</v>
      </c>
      <c r="BJ164" s="70"/>
      <c r="BK164" s="62">
        <f t="shared" si="7"/>
        <v>0</v>
      </c>
      <c r="BL164" s="63"/>
      <c r="BM164" s="71"/>
      <c r="BN164" s="71"/>
      <c r="BO164" s="71"/>
    </row>
    <row r="165" spans="2:67" ht="30" customHeight="1">
      <c r="B165" s="51" t="s">
        <v>299</v>
      </c>
      <c r="C165" s="73" t="s">
        <v>74</v>
      </c>
      <c r="D165" s="121">
        <v>108</v>
      </c>
      <c r="E165" s="114" t="s">
        <v>300</v>
      </c>
      <c r="F165" s="66"/>
      <c r="G165" s="66"/>
      <c r="H165" s="66"/>
      <c r="I165" s="66"/>
      <c r="J165" s="66"/>
      <c r="K165" s="66"/>
      <c r="L165" s="66"/>
      <c r="M165" s="66"/>
      <c r="N165" s="67">
        <v>10</v>
      </c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8"/>
      <c r="AS165" s="66"/>
      <c r="AT165" s="66"/>
      <c r="AU165" s="66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55"/>
      <c r="BG165" s="70"/>
      <c r="BH165" s="63">
        <f t="shared" si="6"/>
        <v>10</v>
      </c>
      <c r="BI165" s="63">
        <v>10</v>
      </c>
      <c r="BJ165" s="70"/>
      <c r="BK165" s="62">
        <f t="shared" si="7"/>
        <v>0</v>
      </c>
      <c r="BL165" s="63"/>
      <c r="BM165" s="71"/>
      <c r="BN165" s="71"/>
      <c r="BO165" s="71"/>
    </row>
    <row r="166" spans="2:67" ht="18.75" customHeight="1">
      <c r="B166" s="51" t="s">
        <v>301</v>
      </c>
      <c r="C166" s="73" t="s">
        <v>74</v>
      </c>
      <c r="D166" s="121">
        <v>109</v>
      </c>
      <c r="E166" s="115" t="s">
        <v>302</v>
      </c>
      <c r="F166" s="66"/>
      <c r="G166" s="66"/>
      <c r="H166" s="66"/>
      <c r="I166" s="66"/>
      <c r="J166" s="66"/>
      <c r="K166" s="66"/>
      <c r="L166" s="66"/>
      <c r="M166" s="66"/>
      <c r="N166" s="67"/>
      <c r="O166" s="66">
        <v>1</v>
      </c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8"/>
      <c r="AS166" s="66"/>
      <c r="AT166" s="66"/>
      <c r="AU166" s="66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55"/>
      <c r="BG166" s="70"/>
      <c r="BH166" s="63">
        <f t="shared" si="6"/>
        <v>1</v>
      </c>
      <c r="BI166" s="63">
        <v>1</v>
      </c>
      <c r="BJ166" s="70"/>
      <c r="BK166" s="62">
        <f t="shared" si="7"/>
        <v>0</v>
      </c>
      <c r="BL166" s="63"/>
      <c r="BM166" s="71"/>
      <c r="BN166" s="71"/>
      <c r="BO166" s="71"/>
    </row>
    <row r="167" spans="2:67" ht="18.75" customHeight="1">
      <c r="B167" s="51" t="s">
        <v>303</v>
      </c>
      <c r="C167" s="73" t="s">
        <v>74</v>
      </c>
      <c r="D167" s="121">
        <v>110</v>
      </c>
      <c r="E167" s="115" t="s">
        <v>304</v>
      </c>
      <c r="F167" s="66"/>
      <c r="G167" s="66"/>
      <c r="H167" s="66"/>
      <c r="I167" s="66"/>
      <c r="J167" s="66"/>
      <c r="K167" s="66"/>
      <c r="L167" s="66"/>
      <c r="M167" s="66"/>
      <c r="N167" s="67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8"/>
      <c r="AS167" s="66"/>
      <c r="AT167" s="66"/>
      <c r="AU167" s="66"/>
      <c r="AV167" s="69"/>
      <c r="AW167" s="69"/>
      <c r="AX167" s="69"/>
      <c r="AY167" s="69">
        <v>1</v>
      </c>
      <c r="AZ167" s="69"/>
      <c r="BA167" s="69"/>
      <c r="BB167" s="69"/>
      <c r="BC167" s="69"/>
      <c r="BD167" s="69"/>
      <c r="BE167" s="69"/>
      <c r="BF167" s="55">
        <v>1</v>
      </c>
      <c r="BG167" s="70"/>
      <c r="BH167" s="63">
        <f t="shared" si="6"/>
        <v>2</v>
      </c>
      <c r="BI167" s="63">
        <v>4</v>
      </c>
      <c r="BJ167" s="70"/>
      <c r="BK167" s="62">
        <f t="shared" si="7"/>
        <v>-2</v>
      </c>
      <c r="BL167" s="63"/>
      <c r="BM167" s="71"/>
      <c r="BN167" s="71"/>
      <c r="BO167" s="71"/>
    </row>
    <row r="168" spans="2:67" ht="30" customHeight="1">
      <c r="B168" s="51" t="s">
        <v>305</v>
      </c>
      <c r="C168" s="73" t="s">
        <v>74</v>
      </c>
      <c r="D168" s="121">
        <v>111</v>
      </c>
      <c r="E168" s="114" t="s">
        <v>306</v>
      </c>
      <c r="F168" s="66"/>
      <c r="G168" s="66"/>
      <c r="H168" s="66"/>
      <c r="I168" s="66">
        <v>1</v>
      </c>
      <c r="J168" s="66"/>
      <c r="K168" s="66"/>
      <c r="L168" s="66"/>
      <c r="M168" s="66"/>
      <c r="N168" s="67"/>
      <c r="O168" s="66"/>
      <c r="P168" s="66"/>
      <c r="Q168" s="66"/>
      <c r="R168" s="66"/>
      <c r="S168" s="66"/>
      <c r="T168" s="66">
        <v>13</v>
      </c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8"/>
      <c r="AS168" s="66"/>
      <c r="AT168" s="66"/>
      <c r="AU168" s="66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55"/>
      <c r="BG168" s="70"/>
      <c r="BH168" s="63">
        <f t="shared" si="6"/>
        <v>14</v>
      </c>
      <c r="BI168" s="63">
        <v>16</v>
      </c>
      <c r="BJ168" s="70"/>
      <c r="BK168" s="62">
        <f t="shared" si="7"/>
        <v>-2</v>
      </c>
      <c r="BL168" s="63" t="s">
        <v>307</v>
      </c>
      <c r="BM168" s="71"/>
      <c r="BN168" s="71"/>
      <c r="BO168" s="71"/>
    </row>
    <row r="169" spans="2:67" ht="18.95" customHeight="1">
      <c r="B169" s="51" t="s">
        <v>308</v>
      </c>
      <c r="C169" s="73" t="s">
        <v>74</v>
      </c>
      <c r="D169" s="121">
        <v>112</v>
      </c>
      <c r="E169" s="114" t="s">
        <v>309</v>
      </c>
      <c r="F169" s="66"/>
      <c r="G169" s="66"/>
      <c r="H169" s="66"/>
      <c r="I169" s="66"/>
      <c r="J169" s="66"/>
      <c r="K169" s="66"/>
      <c r="L169" s="66"/>
      <c r="M169" s="66"/>
      <c r="N169" s="67"/>
      <c r="O169" s="66"/>
      <c r="P169" s="66"/>
      <c r="Q169" s="66"/>
      <c r="R169" s="66"/>
      <c r="S169" s="66"/>
      <c r="T169" s="66">
        <v>2</v>
      </c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8"/>
      <c r="AS169" s="66"/>
      <c r="AT169" s="66"/>
      <c r="AU169" s="66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55"/>
      <c r="BG169" s="70"/>
      <c r="BH169" s="63">
        <f t="shared" si="6"/>
        <v>2</v>
      </c>
      <c r="BI169" s="63">
        <v>2</v>
      </c>
      <c r="BJ169" s="70"/>
      <c r="BK169" s="62">
        <f t="shared" si="7"/>
        <v>0</v>
      </c>
      <c r="BL169" s="63"/>
      <c r="BM169" s="71"/>
      <c r="BN169" s="71"/>
      <c r="BO169" s="71"/>
    </row>
    <row r="170" spans="2:67" ht="18.95" customHeight="1">
      <c r="B170" s="51" t="s">
        <v>310</v>
      </c>
      <c r="C170" s="73" t="s">
        <v>74</v>
      </c>
      <c r="D170" s="121">
        <v>113</v>
      </c>
      <c r="E170" s="115" t="s">
        <v>311</v>
      </c>
      <c r="F170" s="66"/>
      <c r="G170" s="66"/>
      <c r="H170" s="66"/>
      <c r="I170" s="66"/>
      <c r="J170" s="66"/>
      <c r="K170" s="66"/>
      <c r="L170" s="66"/>
      <c r="M170" s="66"/>
      <c r="N170" s="67"/>
      <c r="O170" s="66"/>
      <c r="P170" s="66"/>
      <c r="Q170" s="66"/>
      <c r="R170" s="66"/>
      <c r="S170" s="66"/>
      <c r="T170" s="66"/>
      <c r="U170" s="66">
        <v>1</v>
      </c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8"/>
      <c r="AS170" s="66"/>
      <c r="AT170" s="66"/>
      <c r="AU170" s="66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55"/>
      <c r="BG170" s="70"/>
      <c r="BH170" s="63">
        <f t="shared" si="6"/>
        <v>1</v>
      </c>
      <c r="BI170" s="63">
        <v>1</v>
      </c>
      <c r="BJ170" s="70"/>
      <c r="BK170" s="62">
        <f t="shared" si="7"/>
        <v>0</v>
      </c>
      <c r="BL170" s="63"/>
      <c r="BM170" s="71"/>
      <c r="BN170" s="71"/>
      <c r="BO170" s="71"/>
    </row>
    <row r="171" spans="2:67" ht="18.95" customHeight="1">
      <c r="B171" s="51" t="s">
        <v>312</v>
      </c>
      <c r="C171" s="73" t="s">
        <v>74</v>
      </c>
      <c r="D171" s="121">
        <v>114</v>
      </c>
      <c r="E171" s="115" t="s">
        <v>313</v>
      </c>
      <c r="F171" s="66"/>
      <c r="G171" s="66"/>
      <c r="H171" s="66"/>
      <c r="I171" s="66"/>
      <c r="J171" s="66"/>
      <c r="K171" s="66"/>
      <c r="L171" s="66"/>
      <c r="M171" s="66"/>
      <c r="N171" s="67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>
        <v>1</v>
      </c>
      <c r="AJ171" s="66"/>
      <c r="AK171" s="66"/>
      <c r="AL171" s="66"/>
      <c r="AM171" s="66"/>
      <c r="AN171" s="66"/>
      <c r="AO171" s="66"/>
      <c r="AP171" s="66"/>
      <c r="AQ171" s="66"/>
      <c r="AR171" s="68"/>
      <c r="AS171" s="66"/>
      <c r="AT171" s="66"/>
      <c r="AU171" s="66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55"/>
      <c r="BG171" s="70"/>
      <c r="BH171" s="63">
        <f t="shared" si="6"/>
        <v>1</v>
      </c>
      <c r="BI171" s="63">
        <v>3</v>
      </c>
      <c r="BJ171" s="70"/>
      <c r="BK171" s="62">
        <f t="shared" si="7"/>
        <v>-2</v>
      </c>
      <c r="BL171" s="63"/>
      <c r="BM171" s="71"/>
      <c r="BN171" s="71"/>
      <c r="BO171" s="71"/>
    </row>
    <row r="172" spans="2:67" ht="18.95" customHeight="1">
      <c r="B172" s="51" t="s">
        <v>314</v>
      </c>
      <c r="C172" s="73" t="s">
        <v>74</v>
      </c>
      <c r="D172" s="121">
        <v>115</v>
      </c>
      <c r="E172" s="115" t="s">
        <v>315</v>
      </c>
      <c r="F172" s="66"/>
      <c r="G172" s="66"/>
      <c r="H172" s="66"/>
      <c r="I172" s="66"/>
      <c r="J172" s="66"/>
      <c r="K172" s="66"/>
      <c r="L172" s="66"/>
      <c r="M172" s="66"/>
      <c r="N172" s="67"/>
      <c r="O172" s="66"/>
      <c r="P172" s="66"/>
      <c r="Q172" s="66"/>
      <c r="R172" s="66"/>
      <c r="S172" s="66"/>
      <c r="T172" s="66"/>
      <c r="U172" s="66"/>
      <c r="V172" s="66"/>
      <c r="W172" s="66"/>
      <c r="X172" s="66">
        <v>1</v>
      </c>
      <c r="Y172" s="66"/>
      <c r="Z172" s="66"/>
      <c r="AA172" s="66"/>
      <c r="AB172" s="66">
        <v>1</v>
      </c>
      <c r="AC172" s="66"/>
      <c r="AD172" s="66">
        <v>1</v>
      </c>
      <c r="AE172" s="66"/>
      <c r="AF172" s="66"/>
      <c r="AG172" s="66"/>
      <c r="AH172" s="66">
        <v>2</v>
      </c>
      <c r="AI172" s="66"/>
      <c r="AJ172" s="66"/>
      <c r="AK172" s="66"/>
      <c r="AL172" s="75"/>
      <c r="AM172" s="66">
        <v>1</v>
      </c>
      <c r="AN172" s="66"/>
      <c r="AO172" s="66"/>
      <c r="AP172" s="66"/>
      <c r="AQ172" s="66"/>
      <c r="AR172" s="68"/>
      <c r="AS172" s="66"/>
      <c r="AT172" s="66"/>
      <c r="AU172" s="66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55">
        <v>1</v>
      </c>
      <c r="BG172" s="70"/>
      <c r="BH172" s="63">
        <f t="shared" si="6"/>
        <v>7</v>
      </c>
      <c r="BI172" s="63">
        <v>7</v>
      </c>
      <c r="BJ172" s="70"/>
      <c r="BK172" s="62">
        <f t="shared" si="7"/>
        <v>0</v>
      </c>
      <c r="BL172" s="63"/>
      <c r="BM172" s="71"/>
      <c r="BN172" s="71"/>
      <c r="BO172" s="71"/>
    </row>
    <row r="173" spans="2:67" ht="30" customHeight="1">
      <c r="B173" s="51" t="s">
        <v>316</v>
      </c>
      <c r="C173" s="73" t="s">
        <v>74</v>
      </c>
      <c r="D173" s="121">
        <v>116</v>
      </c>
      <c r="E173" s="114" t="s">
        <v>317</v>
      </c>
      <c r="F173" s="66"/>
      <c r="G173" s="66"/>
      <c r="H173" s="66"/>
      <c r="I173" s="66"/>
      <c r="J173" s="66"/>
      <c r="K173" s="66"/>
      <c r="L173" s="66"/>
      <c r="M173" s="66"/>
      <c r="N173" s="67"/>
      <c r="O173" s="66"/>
      <c r="P173" s="66"/>
      <c r="Q173" s="66"/>
      <c r="R173" s="66"/>
      <c r="S173" s="66"/>
      <c r="T173" s="66"/>
      <c r="U173" s="66"/>
      <c r="V173" s="66">
        <v>1</v>
      </c>
      <c r="W173" s="66"/>
      <c r="X173" s="66">
        <v>1</v>
      </c>
      <c r="Y173" s="66"/>
      <c r="Z173" s="66"/>
      <c r="AA173" s="66"/>
      <c r="AB173" s="66"/>
      <c r="AC173" s="66"/>
      <c r="AD173" s="66"/>
      <c r="AE173" s="66"/>
      <c r="AF173" s="66">
        <v>1</v>
      </c>
      <c r="AG173" s="66"/>
      <c r="AH173" s="66"/>
      <c r="AI173" s="66"/>
      <c r="AJ173" s="66"/>
      <c r="AK173" s="66"/>
      <c r="AL173" s="75"/>
      <c r="AM173" s="66"/>
      <c r="AN173" s="66"/>
      <c r="AO173" s="66"/>
      <c r="AP173" s="66"/>
      <c r="AQ173" s="66"/>
      <c r="AR173" s="68"/>
      <c r="AS173" s="66"/>
      <c r="AT173" s="66"/>
      <c r="AU173" s="66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55"/>
      <c r="BG173" s="70">
        <v>1</v>
      </c>
      <c r="BH173" s="63">
        <f t="shared" si="6"/>
        <v>4</v>
      </c>
      <c r="BI173" s="63">
        <v>4</v>
      </c>
      <c r="BJ173" s="70"/>
      <c r="BK173" s="62">
        <f t="shared" si="7"/>
        <v>0</v>
      </c>
      <c r="BL173" s="63"/>
      <c r="BM173" s="71"/>
      <c r="BN173" s="71"/>
      <c r="BO173" s="71"/>
    </row>
    <row r="174" spans="2:67" ht="18.75" customHeight="1">
      <c r="B174" s="51" t="s">
        <v>318</v>
      </c>
      <c r="C174" s="73" t="s">
        <v>74</v>
      </c>
      <c r="D174" s="121">
        <v>117</v>
      </c>
      <c r="E174" s="115" t="s">
        <v>319</v>
      </c>
      <c r="F174" s="66"/>
      <c r="G174" s="66"/>
      <c r="H174" s="66"/>
      <c r="I174" s="66"/>
      <c r="J174" s="66"/>
      <c r="K174" s="66"/>
      <c r="L174" s="66"/>
      <c r="M174" s="66"/>
      <c r="N174" s="67"/>
      <c r="O174" s="66"/>
      <c r="P174" s="66"/>
      <c r="Q174" s="66"/>
      <c r="R174" s="66"/>
      <c r="S174" s="66"/>
      <c r="T174" s="66"/>
      <c r="U174" s="66">
        <v>6</v>
      </c>
      <c r="V174" s="66"/>
      <c r="W174" s="66"/>
      <c r="X174" s="66"/>
      <c r="Y174" s="66"/>
      <c r="Z174" s="66">
        <v>1</v>
      </c>
      <c r="AA174" s="66"/>
      <c r="AB174" s="66">
        <v>2</v>
      </c>
      <c r="AC174" s="66"/>
      <c r="AD174" s="66">
        <v>2</v>
      </c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>
        <v>19</v>
      </c>
      <c r="AP174" s="66"/>
      <c r="AQ174" s="66"/>
      <c r="AR174" s="68"/>
      <c r="AS174" s="66"/>
      <c r="AT174" s="66"/>
      <c r="AU174" s="66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55">
        <v>1</v>
      </c>
      <c r="BG174" s="70"/>
      <c r="BH174" s="63">
        <f t="shared" si="6"/>
        <v>31</v>
      </c>
      <c r="BI174" s="63">
        <v>35</v>
      </c>
      <c r="BJ174" s="70"/>
      <c r="BK174" s="62">
        <f t="shared" si="7"/>
        <v>-4</v>
      </c>
      <c r="BL174" s="63"/>
      <c r="BM174" s="71"/>
      <c r="BN174" s="65"/>
      <c r="BO174" s="65"/>
    </row>
    <row r="175" spans="2:67" ht="18.95" customHeight="1">
      <c r="B175" s="51" t="s">
        <v>320</v>
      </c>
      <c r="C175" s="73" t="s">
        <v>74</v>
      </c>
      <c r="D175" s="121">
        <v>118</v>
      </c>
      <c r="E175" s="115" t="s">
        <v>321</v>
      </c>
      <c r="F175" s="55"/>
      <c r="G175" s="66"/>
      <c r="H175" s="66"/>
      <c r="I175" s="66"/>
      <c r="J175" s="66"/>
      <c r="K175" s="66"/>
      <c r="L175" s="66"/>
      <c r="M175" s="66"/>
      <c r="N175" s="67">
        <v>3</v>
      </c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75"/>
      <c r="AM175" s="66"/>
      <c r="AN175" s="66"/>
      <c r="AO175" s="66"/>
      <c r="AP175" s="66"/>
      <c r="AQ175" s="66"/>
      <c r="AR175" s="68"/>
      <c r="AS175" s="66"/>
      <c r="AT175" s="66"/>
      <c r="AU175" s="66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55"/>
      <c r="BG175" s="70"/>
      <c r="BH175" s="63">
        <f t="shared" si="6"/>
        <v>3</v>
      </c>
      <c r="BI175" s="63">
        <v>3</v>
      </c>
      <c r="BJ175" s="70"/>
      <c r="BK175" s="62">
        <f t="shared" si="7"/>
        <v>0</v>
      </c>
      <c r="BL175" s="63"/>
      <c r="BM175" s="71"/>
      <c r="BN175" s="65"/>
      <c r="BO175" s="65"/>
    </row>
    <row r="176" spans="2:67" ht="18.95" customHeight="1">
      <c r="B176" s="51" t="s">
        <v>322</v>
      </c>
      <c r="C176" s="73" t="s">
        <v>74</v>
      </c>
      <c r="D176" s="121">
        <v>119</v>
      </c>
      <c r="E176" s="115" t="s">
        <v>323</v>
      </c>
      <c r="F176" s="66"/>
      <c r="G176" s="66"/>
      <c r="H176" s="66"/>
      <c r="I176" s="66"/>
      <c r="J176" s="66"/>
      <c r="K176" s="66"/>
      <c r="L176" s="66"/>
      <c r="M176" s="66"/>
      <c r="N176" s="67">
        <v>3</v>
      </c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8"/>
      <c r="AS176" s="66"/>
      <c r="AT176" s="66"/>
      <c r="AU176" s="66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55"/>
      <c r="BG176" s="70"/>
      <c r="BH176" s="63">
        <f t="shared" si="6"/>
        <v>3</v>
      </c>
      <c r="BI176" s="63">
        <v>3</v>
      </c>
      <c r="BJ176" s="70"/>
      <c r="BK176" s="62">
        <f t="shared" si="7"/>
        <v>0</v>
      </c>
      <c r="BL176" s="63"/>
      <c r="BM176" s="71"/>
      <c r="BN176" s="71"/>
      <c r="BO176" s="71"/>
    </row>
    <row r="177" spans="2:67" ht="18.75" customHeight="1">
      <c r="B177" s="51" t="s">
        <v>324</v>
      </c>
      <c r="C177" s="73" t="s">
        <v>74</v>
      </c>
      <c r="D177" s="121">
        <v>120</v>
      </c>
      <c r="E177" s="115" t="s">
        <v>325</v>
      </c>
      <c r="F177" s="55"/>
      <c r="G177" s="55"/>
      <c r="H177" s="55"/>
      <c r="I177" s="55"/>
      <c r="J177" s="55"/>
      <c r="K177" s="55">
        <v>1</v>
      </c>
      <c r="L177" s="55"/>
      <c r="M177" s="55"/>
      <c r="N177" s="56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76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70"/>
      <c r="BH177" s="63">
        <f t="shared" si="6"/>
        <v>1</v>
      </c>
      <c r="BI177" s="63">
        <v>1</v>
      </c>
      <c r="BJ177" s="70"/>
      <c r="BK177" s="62">
        <f t="shared" si="7"/>
        <v>0</v>
      </c>
      <c r="BL177" s="63"/>
      <c r="BM177" s="71"/>
      <c r="BN177" s="65"/>
      <c r="BO177" s="65"/>
    </row>
    <row r="178" spans="2:67">
      <c r="B178" s="87"/>
      <c r="C178" s="87"/>
      <c r="D178" s="87"/>
      <c r="E178" s="87"/>
    </row>
    <row r="179" spans="2:67">
      <c r="B179" s="87"/>
      <c r="C179" s="87"/>
      <c r="D179" s="87"/>
      <c r="E179" s="87"/>
    </row>
    <row r="180" spans="2:67">
      <c r="B180" s="87"/>
      <c r="C180" s="87"/>
      <c r="D180" s="87"/>
      <c r="E180" s="87"/>
    </row>
    <row r="181" spans="2:67">
      <c r="B181" s="87"/>
      <c r="C181" s="87"/>
      <c r="D181" s="87"/>
      <c r="E181" s="87"/>
    </row>
    <row r="182" spans="2:67">
      <c r="B182" s="87"/>
      <c r="C182" s="87"/>
      <c r="D182" s="87"/>
      <c r="E182" s="87"/>
    </row>
    <row r="183" spans="2:67">
      <c r="B183" s="87"/>
      <c r="C183" s="87"/>
      <c r="D183" s="87"/>
      <c r="E183" s="87"/>
    </row>
    <row r="184" spans="2:67">
      <c r="B184" s="87"/>
      <c r="C184" s="87"/>
      <c r="D184" s="87"/>
      <c r="E184" s="87"/>
    </row>
    <row r="185" spans="2:67">
      <c r="B185" s="87"/>
      <c r="C185" s="87"/>
      <c r="D185" s="87"/>
      <c r="E185" s="87"/>
    </row>
    <row r="186" spans="2:67">
      <c r="B186" s="87"/>
      <c r="C186" s="87"/>
      <c r="D186" s="87"/>
      <c r="E186" s="87"/>
    </row>
    <row r="187" spans="2:67">
      <c r="B187" s="87"/>
      <c r="C187" s="87"/>
      <c r="D187" s="87"/>
      <c r="E187" s="87"/>
    </row>
    <row r="188" spans="2:67">
      <c r="B188" s="87"/>
      <c r="C188" s="87"/>
      <c r="D188" s="87"/>
      <c r="E188" s="87"/>
    </row>
    <row r="189" spans="2:67">
      <c r="B189" s="87"/>
      <c r="C189" s="87"/>
      <c r="D189" s="87"/>
      <c r="E189" s="87"/>
    </row>
    <row r="190" spans="2:67">
      <c r="B190" s="2" t="s">
        <v>1</v>
      </c>
      <c r="C190" s="2"/>
      <c r="D190" s="2"/>
      <c r="E190" s="2"/>
      <c r="F190" s="3"/>
      <c r="G190" s="4"/>
      <c r="H190" s="4"/>
      <c r="I190" s="4"/>
      <c r="J190" s="4"/>
      <c r="K190" s="4"/>
      <c r="L190" s="4"/>
      <c r="M190" s="4"/>
      <c r="N190" s="107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5"/>
      <c r="AF190" s="5"/>
      <c r="AG190" s="5"/>
      <c r="AH190" s="5"/>
      <c r="AI190" s="5"/>
      <c r="AJ190" s="5"/>
      <c r="AK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7"/>
      <c r="BI190" s="7"/>
      <c r="BJ190" s="5"/>
      <c r="BK190" s="5"/>
      <c r="BM190" s="5"/>
      <c r="BN190" s="5"/>
      <c r="BO190" s="5"/>
    </row>
    <row r="191" spans="2:67" ht="18.75" customHeight="1">
      <c r="B191" s="2"/>
      <c r="C191" s="2"/>
      <c r="D191" s="2"/>
      <c r="E191" s="2"/>
      <c r="F191" s="1" t="s">
        <v>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9" t="s">
        <v>326</v>
      </c>
      <c r="BG191" s="10"/>
      <c r="BH191" s="10"/>
      <c r="BI191" s="10"/>
      <c r="BJ191" s="10"/>
      <c r="BK191" s="10"/>
      <c r="BL191" s="10"/>
      <c r="BM191" s="10"/>
      <c r="BN191" s="10"/>
      <c r="BO191" s="11"/>
    </row>
    <row r="192" spans="2:67">
      <c r="B192" s="12"/>
      <c r="C192" s="12"/>
      <c r="D192" s="12"/>
      <c r="E192" s="12"/>
      <c r="F192" s="13"/>
      <c r="G192" s="14" t="s">
        <v>3</v>
      </c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6"/>
      <c r="AM192" s="15"/>
      <c r="AN192" s="15"/>
      <c r="AO192" s="15"/>
      <c r="AP192" s="15"/>
      <c r="AQ192" s="15"/>
      <c r="AR192" s="17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8"/>
      <c r="BM192" s="15"/>
      <c r="BN192" s="15"/>
      <c r="BO192" s="15"/>
    </row>
    <row r="193" spans="2:67" ht="15">
      <c r="B193" s="19" t="s">
        <v>4</v>
      </c>
      <c r="C193" s="20" t="s">
        <v>5</v>
      </c>
      <c r="D193" s="20"/>
      <c r="E193" s="21" t="s">
        <v>6</v>
      </c>
      <c r="F193" s="110" t="s">
        <v>135</v>
      </c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24" t="s">
        <v>8</v>
      </c>
      <c r="BG193" s="25"/>
      <c r="BH193" s="25"/>
      <c r="BI193" s="26"/>
      <c r="BJ193" s="31" t="s">
        <v>9</v>
      </c>
      <c r="BK193" s="32"/>
      <c r="BL193" s="29"/>
      <c r="BM193" s="30"/>
      <c r="BN193" s="31" t="s">
        <v>10</v>
      </c>
      <c r="BO193" s="32"/>
    </row>
    <row r="194" spans="2:67" ht="110.1" customHeight="1">
      <c r="B194" s="33"/>
      <c r="C194" s="34" t="s">
        <v>11</v>
      </c>
      <c r="D194" s="35" t="s">
        <v>4</v>
      </c>
      <c r="E194" s="35" t="s">
        <v>12</v>
      </c>
      <c r="F194" s="36" t="s">
        <v>13</v>
      </c>
      <c r="G194" s="36" t="s">
        <v>14</v>
      </c>
      <c r="H194" s="36" t="s">
        <v>15</v>
      </c>
      <c r="I194" s="36" t="s">
        <v>16</v>
      </c>
      <c r="J194" s="36" t="s">
        <v>17</v>
      </c>
      <c r="K194" s="36" t="s">
        <v>18</v>
      </c>
      <c r="L194" s="36" t="s">
        <v>19</v>
      </c>
      <c r="M194" s="36" t="s">
        <v>20</v>
      </c>
      <c r="N194" s="37" t="s">
        <v>21</v>
      </c>
      <c r="O194" s="36" t="s">
        <v>22</v>
      </c>
      <c r="P194" s="36" t="s">
        <v>23</v>
      </c>
      <c r="Q194" s="36" t="s">
        <v>24</v>
      </c>
      <c r="R194" s="36" t="s">
        <v>25</v>
      </c>
      <c r="S194" s="36" t="s">
        <v>26</v>
      </c>
      <c r="T194" s="36" t="s">
        <v>27</v>
      </c>
      <c r="U194" s="36" t="s">
        <v>28</v>
      </c>
      <c r="V194" s="36" t="s">
        <v>29</v>
      </c>
      <c r="W194" s="36" t="s">
        <v>30</v>
      </c>
      <c r="X194" s="38" t="s">
        <v>31</v>
      </c>
      <c r="Y194" s="36" t="s">
        <v>32</v>
      </c>
      <c r="Z194" s="36" t="s">
        <v>33</v>
      </c>
      <c r="AA194" s="36" t="s">
        <v>34</v>
      </c>
      <c r="AB194" s="38" t="s">
        <v>35</v>
      </c>
      <c r="AC194" s="36" t="s">
        <v>36</v>
      </c>
      <c r="AD194" s="39" t="s">
        <v>37</v>
      </c>
      <c r="AE194" s="36" t="s">
        <v>38</v>
      </c>
      <c r="AF194" s="40" t="s">
        <v>39</v>
      </c>
      <c r="AG194" s="40" t="s">
        <v>40</v>
      </c>
      <c r="AH194" s="40" t="s">
        <v>41</v>
      </c>
      <c r="AI194" s="40" t="s">
        <v>42</v>
      </c>
      <c r="AJ194" s="40" t="s">
        <v>43</v>
      </c>
      <c r="AK194" s="40" t="s">
        <v>44</v>
      </c>
      <c r="AL194" s="41" t="s">
        <v>45</v>
      </c>
      <c r="AM194" s="42" t="s">
        <v>46</v>
      </c>
      <c r="AN194" s="43" t="s">
        <v>47</v>
      </c>
      <c r="AO194" s="40" t="s">
        <v>48</v>
      </c>
      <c r="AP194" s="40" t="s">
        <v>49</v>
      </c>
      <c r="AQ194" s="40" t="s">
        <v>50</v>
      </c>
      <c r="AR194" s="44" t="s">
        <v>136</v>
      </c>
      <c r="AS194" s="36" t="s">
        <v>52</v>
      </c>
      <c r="AT194" s="36" t="s">
        <v>53</v>
      </c>
      <c r="AU194" s="36" t="s">
        <v>54</v>
      </c>
      <c r="AV194" s="36" t="s">
        <v>55</v>
      </c>
      <c r="AW194" s="36" t="s">
        <v>56</v>
      </c>
      <c r="AX194" s="36" t="s">
        <v>203</v>
      </c>
      <c r="AY194" s="36" t="s">
        <v>58</v>
      </c>
      <c r="AZ194" s="38" t="s">
        <v>59</v>
      </c>
      <c r="BA194" s="36" t="s">
        <v>60</v>
      </c>
      <c r="BB194" s="36" t="s">
        <v>61</v>
      </c>
      <c r="BC194" s="39" t="s">
        <v>62</v>
      </c>
      <c r="BD194" s="36" t="s">
        <v>63</v>
      </c>
      <c r="BE194" s="36" t="s">
        <v>64</v>
      </c>
      <c r="BF194" s="45" t="s">
        <v>65</v>
      </c>
      <c r="BG194" s="45" t="s">
        <v>66</v>
      </c>
      <c r="BH194" s="45" t="s">
        <v>67</v>
      </c>
      <c r="BI194" s="45" t="s">
        <v>68</v>
      </c>
      <c r="BJ194" s="46" t="s">
        <v>69</v>
      </c>
      <c r="BK194" s="46" t="s">
        <v>70</v>
      </c>
      <c r="BL194" s="47" t="s">
        <v>71</v>
      </c>
      <c r="BM194" s="48" t="s">
        <v>72</v>
      </c>
      <c r="BN194" s="49" t="s">
        <v>69</v>
      </c>
      <c r="BO194" s="50" t="s">
        <v>70</v>
      </c>
    </row>
    <row r="195" spans="2:67" ht="18.75" customHeight="1">
      <c r="B195" s="51" t="s">
        <v>327</v>
      </c>
      <c r="C195" s="52" t="s">
        <v>74</v>
      </c>
      <c r="D195" s="53" t="s">
        <v>327</v>
      </c>
      <c r="E195" s="115" t="s">
        <v>328</v>
      </c>
      <c r="F195" s="55"/>
      <c r="G195" s="55"/>
      <c r="H195" s="55"/>
      <c r="I195" s="55"/>
      <c r="J195" s="55"/>
      <c r="K195" s="55"/>
      <c r="L195" s="55"/>
      <c r="M195" s="55"/>
      <c r="N195" s="56"/>
      <c r="O195" s="55"/>
      <c r="P195" s="55"/>
      <c r="Q195" s="57"/>
      <c r="R195" s="55"/>
      <c r="S195" s="58"/>
      <c r="T195" s="58"/>
      <c r="U195" s="55">
        <v>1</v>
      </c>
      <c r="V195" s="55">
        <v>1</v>
      </c>
      <c r="W195" s="55"/>
      <c r="X195" s="55"/>
      <c r="Y195" s="55"/>
      <c r="Z195" s="55"/>
      <c r="AA195" s="55">
        <v>1</v>
      </c>
      <c r="AB195" s="55"/>
      <c r="AC195" s="55"/>
      <c r="AD195" s="55"/>
      <c r="AE195" s="57"/>
      <c r="AF195" s="57"/>
      <c r="AG195" s="57"/>
      <c r="AH195" s="57"/>
      <c r="AI195" s="57">
        <v>1</v>
      </c>
      <c r="AJ195" s="57"/>
      <c r="AK195" s="57"/>
      <c r="AL195" s="59"/>
      <c r="AM195" s="57"/>
      <c r="AN195" s="57"/>
      <c r="AO195" s="55"/>
      <c r="AP195" s="55"/>
      <c r="AQ195" s="57"/>
      <c r="AR195" s="60"/>
      <c r="AS195" s="57"/>
      <c r="AT195" s="57"/>
      <c r="AU195" s="57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55"/>
      <c r="BG195" s="62"/>
      <c r="BH195" s="63">
        <f t="shared" ref="BH195:BH224" si="8">SUM(F195:BG195)</f>
        <v>4</v>
      </c>
      <c r="BI195" s="64">
        <v>10</v>
      </c>
      <c r="BJ195" s="62"/>
      <c r="BK195" s="62">
        <f>BH195-BI195</f>
        <v>-6</v>
      </c>
      <c r="BL195" s="64"/>
      <c r="BM195" s="65"/>
      <c r="BN195" s="65"/>
      <c r="BO195" s="65"/>
    </row>
    <row r="196" spans="2:67" ht="18.95" customHeight="1">
      <c r="B196" s="51" t="s">
        <v>329</v>
      </c>
      <c r="C196" s="52" t="s">
        <v>74</v>
      </c>
      <c r="D196" s="53" t="s">
        <v>329</v>
      </c>
      <c r="E196" s="115" t="s">
        <v>330</v>
      </c>
      <c r="F196" s="66"/>
      <c r="G196" s="66"/>
      <c r="H196" s="66"/>
      <c r="I196" s="66"/>
      <c r="J196" s="66"/>
      <c r="K196" s="66"/>
      <c r="L196" s="66"/>
      <c r="M196" s="66"/>
      <c r="N196" s="67">
        <v>1</v>
      </c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8"/>
      <c r="AS196" s="66"/>
      <c r="AT196" s="66"/>
      <c r="AU196" s="66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55"/>
      <c r="BG196" s="70"/>
      <c r="BH196" s="63">
        <f t="shared" si="8"/>
        <v>1</v>
      </c>
      <c r="BI196" s="63">
        <v>1</v>
      </c>
      <c r="BJ196" s="70"/>
      <c r="BK196" s="62">
        <f t="shared" ref="BK196:BK224" si="9">BH196-BI196</f>
        <v>0</v>
      </c>
      <c r="BL196" s="63"/>
      <c r="BM196" s="71"/>
      <c r="BN196" s="71"/>
      <c r="BO196" s="72"/>
    </row>
    <row r="197" spans="2:67" ht="18.95" customHeight="1">
      <c r="B197" s="51" t="s">
        <v>331</v>
      </c>
      <c r="C197" s="73" t="s">
        <v>74</v>
      </c>
      <c r="D197" s="53" t="s">
        <v>331</v>
      </c>
      <c r="E197" s="115" t="s">
        <v>332</v>
      </c>
      <c r="F197" s="66"/>
      <c r="G197" s="66"/>
      <c r="H197" s="66"/>
      <c r="I197" s="66"/>
      <c r="J197" s="66"/>
      <c r="K197" s="66"/>
      <c r="L197" s="66"/>
      <c r="M197" s="66"/>
      <c r="N197" s="67">
        <v>1</v>
      </c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8"/>
      <c r="AS197" s="66"/>
      <c r="AT197" s="66"/>
      <c r="AU197" s="66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55"/>
      <c r="BG197" s="70"/>
      <c r="BH197" s="63">
        <f t="shared" si="8"/>
        <v>1</v>
      </c>
      <c r="BI197" s="63">
        <v>1</v>
      </c>
      <c r="BJ197" s="70"/>
      <c r="BK197" s="62">
        <f t="shared" si="9"/>
        <v>0</v>
      </c>
      <c r="BL197" s="63"/>
      <c r="BM197" s="71"/>
      <c r="BN197" s="72"/>
      <c r="BO197" s="71"/>
    </row>
    <row r="198" spans="2:67" ht="18.95" customHeight="1">
      <c r="B198" s="51" t="s">
        <v>333</v>
      </c>
      <c r="C198" s="73" t="s">
        <v>74</v>
      </c>
      <c r="D198" s="53" t="s">
        <v>333</v>
      </c>
      <c r="E198" s="115" t="s">
        <v>334</v>
      </c>
      <c r="F198" s="66"/>
      <c r="G198" s="66"/>
      <c r="H198" s="66"/>
      <c r="I198" s="66"/>
      <c r="J198" s="66"/>
      <c r="K198" s="66"/>
      <c r="L198" s="66"/>
      <c r="M198" s="66"/>
      <c r="N198" s="67">
        <v>1</v>
      </c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8"/>
      <c r="AS198" s="66"/>
      <c r="AT198" s="66"/>
      <c r="AU198" s="66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55"/>
      <c r="BG198" s="70"/>
      <c r="BH198" s="63">
        <f t="shared" si="8"/>
        <v>1</v>
      </c>
      <c r="BI198" s="63">
        <v>1</v>
      </c>
      <c r="BJ198" s="70"/>
      <c r="BK198" s="62">
        <f t="shared" si="9"/>
        <v>0</v>
      </c>
      <c r="BL198" s="63"/>
      <c r="BM198" s="71"/>
      <c r="BN198" s="71"/>
      <c r="BO198" s="71"/>
    </row>
    <row r="199" spans="2:67" ht="18.95" customHeight="1">
      <c r="B199" s="51" t="s">
        <v>335</v>
      </c>
      <c r="C199" s="73" t="s">
        <v>74</v>
      </c>
      <c r="D199" s="53" t="s">
        <v>335</v>
      </c>
      <c r="E199" s="115" t="s">
        <v>336</v>
      </c>
      <c r="F199" s="66"/>
      <c r="G199" s="66"/>
      <c r="H199" s="66"/>
      <c r="I199" s="66"/>
      <c r="J199" s="66"/>
      <c r="K199" s="66"/>
      <c r="L199" s="66"/>
      <c r="M199" s="66"/>
      <c r="N199" s="67">
        <v>6</v>
      </c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8"/>
      <c r="AS199" s="66"/>
      <c r="AT199" s="66"/>
      <c r="AU199" s="66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55"/>
      <c r="BG199" s="70"/>
      <c r="BH199" s="63">
        <f t="shared" si="8"/>
        <v>6</v>
      </c>
      <c r="BI199" s="63">
        <v>6</v>
      </c>
      <c r="BJ199" s="70"/>
      <c r="BK199" s="62">
        <f t="shared" si="9"/>
        <v>0</v>
      </c>
      <c r="BL199" s="63"/>
      <c r="BM199" s="71"/>
      <c r="BN199" s="71"/>
      <c r="BO199" s="71"/>
    </row>
    <row r="200" spans="2:67" ht="18.95" customHeight="1">
      <c r="B200" s="51" t="s">
        <v>337</v>
      </c>
      <c r="C200" s="73" t="s">
        <v>74</v>
      </c>
      <c r="D200" s="53" t="s">
        <v>337</v>
      </c>
      <c r="E200" s="115" t="s">
        <v>338</v>
      </c>
      <c r="F200" s="66"/>
      <c r="G200" s="66"/>
      <c r="H200" s="66"/>
      <c r="I200" s="66"/>
      <c r="J200" s="66"/>
      <c r="K200" s="66"/>
      <c r="L200" s="66"/>
      <c r="M200" s="66"/>
      <c r="N200" s="67">
        <v>3</v>
      </c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8"/>
      <c r="AS200" s="66"/>
      <c r="AT200" s="66"/>
      <c r="AU200" s="66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55"/>
      <c r="BG200" s="70"/>
      <c r="BH200" s="63">
        <f t="shared" si="8"/>
        <v>3</v>
      </c>
      <c r="BI200" s="63">
        <v>3</v>
      </c>
      <c r="BJ200" s="70"/>
      <c r="BK200" s="62">
        <f t="shared" si="9"/>
        <v>0</v>
      </c>
      <c r="BL200" s="63"/>
      <c r="BM200" s="71"/>
      <c r="BN200" s="71"/>
      <c r="BO200" s="71"/>
    </row>
    <row r="201" spans="2:67" ht="18.95" customHeight="1">
      <c r="B201" s="51" t="s">
        <v>339</v>
      </c>
      <c r="C201" s="73" t="s">
        <v>74</v>
      </c>
      <c r="D201" s="53" t="s">
        <v>339</v>
      </c>
      <c r="E201" s="115" t="s">
        <v>340</v>
      </c>
      <c r="F201" s="66"/>
      <c r="G201" s="66"/>
      <c r="H201" s="66"/>
      <c r="I201" s="66"/>
      <c r="J201" s="66"/>
      <c r="K201" s="66"/>
      <c r="L201" s="66"/>
      <c r="M201" s="66"/>
      <c r="N201" s="67">
        <v>3</v>
      </c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8"/>
      <c r="AS201" s="66"/>
      <c r="AT201" s="66"/>
      <c r="AU201" s="66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55"/>
      <c r="BG201" s="70"/>
      <c r="BH201" s="63">
        <f t="shared" si="8"/>
        <v>3</v>
      </c>
      <c r="BI201" s="63">
        <v>3</v>
      </c>
      <c r="BJ201" s="70"/>
      <c r="BK201" s="62">
        <f t="shared" si="9"/>
        <v>0</v>
      </c>
      <c r="BL201" s="63"/>
      <c r="BM201" s="71"/>
      <c r="BN201" s="71"/>
      <c r="BO201" s="71"/>
    </row>
    <row r="202" spans="2:67" ht="18.95" customHeight="1">
      <c r="B202" s="51" t="s">
        <v>341</v>
      </c>
      <c r="C202" s="73" t="s">
        <v>74</v>
      </c>
      <c r="D202" s="53" t="s">
        <v>341</v>
      </c>
      <c r="E202" s="115" t="s">
        <v>342</v>
      </c>
      <c r="F202" s="66"/>
      <c r="G202" s="66"/>
      <c r="H202" s="66"/>
      <c r="I202" s="66"/>
      <c r="J202" s="66"/>
      <c r="K202" s="66"/>
      <c r="L202" s="66"/>
      <c r="M202" s="66"/>
      <c r="N202" s="67">
        <v>1</v>
      </c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8"/>
      <c r="AS202" s="66"/>
      <c r="AT202" s="66"/>
      <c r="AU202" s="66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55"/>
      <c r="BG202" s="70"/>
      <c r="BH202" s="63">
        <f t="shared" si="8"/>
        <v>1</v>
      </c>
      <c r="BI202" s="63">
        <v>1</v>
      </c>
      <c r="BJ202" s="70"/>
      <c r="BK202" s="62">
        <f t="shared" si="9"/>
        <v>0</v>
      </c>
      <c r="BL202" s="63"/>
      <c r="BM202" s="71"/>
      <c r="BN202" s="71"/>
      <c r="BO202" s="71"/>
    </row>
    <row r="203" spans="2:67" ht="18.95" customHeight="1">
      <c r="B203" s="51" t="s">
        <v>343</v>
      </c>
      <c r="C203" s="73" t="s">
        <v>74</v>
      </c>
      <c r="D203" s="53" t="s">
        <v>343</v>
      </c>
      <c r="E203" s="115" t="s">
        <v>344</v>
      </c>
      <c r="F203" s="66"/>
      <c r="G203" s="66"/>
      <c r="H203" s="66"/>
      <c r="I203" s="66"/>
      <c r="J203" s="66"/>
      <c r="K203" s="66"/>
      <c r="L203" s="66"/>
      <c r="M203" s="66"/>
      <c r="N203" s="67">
        <v>3</v>
      </c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8"/>
      <c r="AS203" s="66"/>
      <c r="AT203" s="66"/>
      <c r="AU203" s="66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55"/>
      <c r="BG203" s="70"/>
      <c r="BH203" s="63">
        <f t="shared" si="8"/>
        <v>3</v>
      </c>
      <c r="BI203" s="63">
        <v>3</v>
      </c>
      <c r="BJ203" s="70"/>
      <c r="BK203" s="62">
        <f t="shared" si="9"/>
        <v>0</v>
      </c>
      <c r="BL203" s="63"/>
      <c r="BM203" s="71"/>
      <c r="BN203" s="71"/>
      <c r="BO203" s="71"/>
    </row>
    <row r="204" spans="2:67" ht="18.95" customHeight="1">
      <c r="B204" s="51" t="s">
        <v>345</v>
      </c>
      <c r="C204" s="73" t="s">
        <v>74</v>
      </c>
      <c r="D204" s="53" t="s">
        <v>345</v>
      </c>
      <c r="E204" s="115" t="s">
        <v>346</v>
      </c>
      <c r="F204" s="66"/>
      <c r="G204" s="66"/>
      <c r="H204" s="66"/>
      <c r="I204" s="66"/>
      <c r="J204" s="66"/>
      <c r="K204" s="66"/>
      <c r="L204" s="66"/>
      <c r="M204" s="66"/>
      <c r="N204" s="67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8"/>
      <c r="AS204" s="66"/>
      <c r="AT204" s="66"/>
      <c r="AU204" s="66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55"/>
      <c r="BG204" s="70"/>
      <c r="BH204" s="63">
        <f t="shared" si="8"/>
        <v>0</v>
      </c>
      <c r="BI204" s="63">
        <v>1</v>
      </c>
      <c r="BJ204" s="70"/>
      <c r="BK204" s="62">
        <f t="shared" si="9"/>
        <v>-1</v>
      </c>
      <c r="BL204" s="63"/>
      <c r="BM204" s="71"/>
      <c r="BN204" s="71"/>
      <c r="BO204" s="71"/>
    </row>
    <row r="205" spans="2:67" ht="18.95" customHeight="1">
      <c r="B205" s="51" t="s">
        <v>347</v>
      </c>
      <c r="C205" s="73" t="s">
        <v>74</v>
      </c>
      <c r="D205" s="53" t="s">
        <v>347</v>
      </c>
      <c r="E205" s="115" t="s">
        <v>348</v>
      </c>
      <c r="F205" s="66"/>
      <c r="G205" s="66">
        <v>1</v>
      </c>
      <c r="H205" s="66"/>
      <c r="I205" s="66">
        <v>1</v>
      </c>
      <c r="J205" s="66">
        <v>1</v>
      </c>
      <c r="K205" s="66"/>
      <c r="L205" s="66"/>
      <c r="M205" s="66">
        <v>1</v>
      </c>
      <c r="N205" s="67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>
        <v>1</v>
      </c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8"/>
      <c r="AS205" s="66"/>
      <c r="AT205" s="66"/>
      <c r="AU205" s="66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55"/>
      <c r="BG205" s="70"/>
      <c r="BH205" s="63">
        <f t="shared" si="8"/>
        <v>5</v>
      </c>
      <c r="BI205" s="63">
        <v>5</v>
      </c>
      <c r="BJ205" s="70"/>
      <c r="BK205" s="62">
        <f t="shared" si="9"/>
        <v>0</v>
      </c>
      <c r="BL205" s="63"/>
      <c r="BM205" s="71"/>
      <c r="BN205" s="71"/>
      <c r="BO205" s="71"/>
    </row>
    <row r="206" spans="2:67" ht="18.95" customHeight="1">
      <c r="B206" s="51" t="s">
        <v>349</v>
      </c>
      <c r="C206" s="73" t="s">
        <v>74</v>
      </c>
      <c r="D206" s="53" t="s">
        <v>349</v>
      </c>
      <c r="E206" s="115" t="s">
        <v>350</v>
      </c>
      <c r="F206" s="66"/>
      <c r="G206" s="66"/>
      <c r="H206" s="66"/>
      <c r="I206" s="66"/>
      <c r="J206" s="66"/>
      <c r="K206" s="66"/>
      <c r="L206" s="66"/>
      <c r="M206" s="66"/>
      <c r="N206" s="67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>
        <v>1</v>
      </c>
      <c r="AI206" s="66"/>
      <c r="AJ206" s="66"/>
      <c r="AK206" s="66"/>
      <c r="AL206" s="66"/>
      <c r="AM206" s="66"/>
      <c r="AN206" s="66"/>
      <c r="AO206" s="66"/>
      <c r="AP206" s="66"/>
      <c r="AQ206" s="66"/>
      <c r="AR206" s="68"/>
      <c r="AS206" s="66"/>
      <c r="AT206" s="66"/>
      <c r="AU206" s="66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55"/>
      <c r="BG206" s="70"/>
      <c r="BH206" s="63">
        <f t="shared" si="8"/>
        <v>1</v>
      </c>
      <c r="BI206" s="63">
        <v>1</v>
      </c>
      <c r="BJ206" s="70"/>
      <c r="BK206" s="62">
        <f t="shared" si="9"/>
        <v>0</v>
      </c>
      <c r="BL206" s="63"/>
      <c r="BM206" s="71"/>
      <c r="BN206" s="71"/>
      <c r="BO206" s="71"/>
    </row>
    <row r="207" spans="2:67" ht="18.75" customHeight="1">
      <c r="B207" s="51" t="s">
        <v>351</v>
      </c>
      <c r="C207" s="73" t="s">
        <v>74</v>
      </c>
      <c r="D207" s="53" t="s">
        <v>351</v>
      </c>
      <c r="E207" s="115" t="s">
        <v>352</v>
      </c>
      <c r="F207" s="66">
        <v>1</v>
      </c>
      <c r="G207" s="66">
        <v>1</v>
      </c>
      <c r="H207" s="66">
        <v>1</v>
      </c>
      <c r="I207" s="66">
        <v>1</v>
      </c>
      <c r="J207" s="66">
        <v>1</v>
      </c>
      <c r="K207" s="66"/>
      <c r="L207" s="66"/>
      <c r="M207" s="66"/>
      <c r="N207" s="67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8"/>
      <c r="AS207" s="66"/>
      <c r="AT207" s="66"/>
      <c r="AU207" s="66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55"/>
      <c r="BG207" s="70"/>
      <c r="BH207" s="63">
        <f t="shared" si="8"/>
        <v>5</v>
      </c>
      <c r="BI207" s="63">
        <v>5</v>
      </c>
      <c r="BJ207" s="70"/>
      <c r="BK207" s="62">
        <f t="shared" si="9"/>
        <v>0</v>
      </c>
      <c r="BL207" s="63"/>
      <c r="BM207" s="71"/>
      <c r="BN207" s="71"/>
      <c r="BO207" s="71"/>
    </row>
    <row r="208" spans="2:67" ht="18.75" customHeight="1">
      <c r="B208" s="51" t="s">
        <v>353</v>
      </c>
      <c r="C208" s="73" t="s">
        <v>74</v>
      </c>
      <c r="D208" s="53" t="s">
        <v>353</v>
      </c>
      <c r="E208" s="115" t="s">
        <v>354</v>
      </c>
      <c r="F208" s="66"/>
      <c r="G208" s="66"/>
      <c r="H208" s="66"/>
      <c r="I208" s="66"/>
      <c r="J208" s="66"/>
      <c r="K208" s="66"/>
      <c r="L208" s="66"/>
      <c r="M208" s="66"/>
      <c r="N208" s="67"/>
      <c r="O208" s="66"/>
      <c r="P208" s="66"/>
      <c r="Q208" s="66"/>
      <c r="R208" s="66"/>
      <c r="S208" s="66"/>
      <c r="T208" s="66"/>
      <c r="U208" s="66"/>
      <c r="V208" s="66"/>
      <c r="W208" s="66"/>
      <c r="X208" s="66">
        <v>1</v>
      </c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8"/>
      <c r="AS208" s="66"/>
      <c r="AT208" s="66">
        <v>1</v>
      </c>
      <c r="AU208" s="66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55"/>
      <c r="BG208" s="70"/>
      <c r="BH208" s="63">
        <f t="shared" si="8"/>
        <v>2</v>
      </c>
      <c r="BI208" s="63">
        <v>1</v>
      </c>
      <c r="BJ208" s="70"/>
      <c r="BK208" s="62">
        <f t="shared" si="9"/>
        <v>1</v>
      </c>
      <c r="BL208" s="63"/>
      <c r="BM208" s="71"/>
      <c r="BN208" s="71"/>
      <c r="BO208" s="71"/>
    </row>
    <row r="209" spans="2:67" ht="18.75" customHeight="1">
      <c r="B209" s="51" t="s">
        <v>355</v>
      </c>
      <c r="C209" s="73" t="s">
        <v>74</v>
      </c>
      <c r="D209" s="53" t="s">
        <v>355</v>
      </c>
      <c r="E209" s="115" t="s">
        <v>356</v>
      </c>
      <c r="F209" s="66"/>
      <c r="G209" s="66"/>
      <c r="H209" s="66"/>
      <c r="I209" s="66"/>
      <c r="J209" s="66"/>
      <c r="K209" s="66"/>
      <c r="L209" s="66"/>
      <c r="M209" s="66"/>
      <c r="N209" s="67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>
        <v>1</v>
      </c>
      <c r="AG209" s="66">
        <v>1</v>
      </c>
      <c r="AH209" s="66"/>
      <c r="AI209" s="66"/>
      <c r="AJ209" s="66"/>
      <c r="AK209" s="66">
        <v>1</v>
      </c>
      <c r="AL209" s="66"/>
      <c r="AM209" s="66"/>
      <c r="AN209" s="66">
        <v>1</v>
      </c>
      <c r="AO209" s="66"/>
      <c r="AP209" s="66"/>
      <c r="AQ209" s="66"/>
      <c r="AR209" s="68"/>
      <c r="AS209" s="66"/>
      <c r="AT209" s="66"/>
      <c r="AU209" s="66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55"/>
      <c r="BG209" s="70">
        <v>1</v>
      </c>
      <c r="BH209" s="63">
        <f t="shared" si="8"/>
        <v>5</v>
      </c>
      <c r="BI209" s="63">
        <v>5</v>
      </c>
      <c r="BJ209" s="70"/>
      <c r="BK209" s="62">
        <f t="shared" si="9"/>
        <v>0</v>
      </c>
      <c r="BL209" s="63"/>
      <c r="BM209" s="71"/>
      <c r="BN209" s="71"/>
      <c r="BO209" s="71"/>
    </row>
    <row r="210" spans="2:67" ht="18.95" customHeight="1">
      <c r="B210" s="51" t="s">
        <v>357</v>
      </c>
      <c r="C210" s="73" t="s">
        <v>74</v>
      </c>
      <c r="D210" s="53" t="s">
        <v>357</v>
      </c>
      <c r="E210" s="115" t="s">
        <v>358</v>
      </c>
      <c r="F210" s="66"/>
      <c r="G210" s="66"/>
      <c r="H210" s="66"/>
      <c r="I210" s="66"/>
      <c r="J210" s="66"/>
      <c r="K210" s="66"/>
      <c r="L210" s="66"/>
      <c r="M210" s="66"/>
      <c r="N210" s="67"/>
      <c r="O210" s="66"/>
      <c r="P210" s="66"/>
      <c r="Q210" s="66"/>
      <c r="R210" s="66"/>
      <c r="S210" s="66"/>
      <c r="T210" s="66"/>
      <c r="U210" s="66"/>
      <c r="V210" s="66"/>
      <c r="W210" s="66"/>
      <c r="X210" s="66">
        <v>1</v>
      </c>
      <c r="Y210" s="66"/>
      <c r="Z210" s="66"/>
      <c r="AA210" s="66"/>
      <c r="AB210" s="66"/>
      <c r="AC210" s="66"/>
      <c r="AD210" s="66"/>
      <c r="AE210" s="66"/>
      <c r="AF210" s="66"/>
      <c r="AG210" s="66"/>
      <c r="AH210" s="66">
        <v>1</v>
      </c>
      <c r="AI210" s="66"/>
      <c r="AJ210" s="66"/>
      <c r="AK210" s="66"/>
      <c r="AL210" s="66"/>
      <c r="AM210" s="66"/>
      <c r="AN210" s="66"/>
      <c r="AO210" s="66"/>
      <c r="AP210" s="66"/>
      <c r="AQ210" s="66"/>
      <c r="AR210" s="68"/>
      <c r="AS210" s="66"/>
      <c r="AT210" s="66"/>
      <c r="AU210" s="66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55"/>
      <c r="BG210" s="70"/>
      <c r="BH210" s="63">
        <f t="shared" si="8"/>
        <v>2</v>
      </c>
      <c r="BI210" s="63">
        <v>2</v>
      </c>
      <c r="BJ210" s="70"/>
      <c r="BK210" s="62">
        <f t="shared" si="9"/>
        <v>0</v>
      </c>
      <c r="BL210" s="63"/>
      <c r="BM210" s="71"/>
      <c r="BN210" s="71"/>
      <c r="BO210" s="71"/>
    </row>
    <row r="211" spans="2:67" ht="18.95" customHeight="1">
      <c r="B211" s="51" t="s">
        <v>359</v>
      </c>
      <c r="C211" s="52" t="s">
        <v>74</v>
      </c>
      <c r="D211" s="53" t="s">
        <v>359</v>
      </c>
      <c r="E211" s="115" t="s">
        <v>360</v>
      </c>
      <c r="F211" s="66"/>
      <c r="G211" s="66"/>
      <c r="H211" s="66"/>
      <c r="I211" s="66"/>
      <c r="J211" s="66"/>
      <c r="K211" s="66"/>
      <c r="L211" s="66"/>
      <c r="M211" s="66"/>
      <c r="N211" s="67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>
        <v>1</v>
      </c>
      <c r="AI211" s="66"/>
      <c r="AJ211" s="66"/>
      <c r="AK211" s="66"/>
      <c r="AL211" s="66"/>
      <c r="AM211" s="66"/>
      <c r="AN211" s="66"/>
      <c r="AO211" s="66"/>
      <c r="AP211" s="66"/>
      <c r="AQ211" s="66"/>
      <c r="AR211" s="68"/>
      <c r="AS211" s="66"/>
      <c r="AT211" s="66"/>
      <c r="AU211" s="66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55"/>
      <c r="BG211" s="70"/>
      <c r="BH211" s="63">
        <f t="shared" si="8"/>
        <v>1</v>
      </c>
      <c r="BI211" s="63">
        <v>1</v>
      </c>
      <c r="BJ211" s="70"/>
      <c r="BK211" s="62">
        <f t="shared" si="9"/>
        <v>0</v>
      </c>
      <c r="BL211" s="63"/>
      <c r="BM211" s="71"/>
      <c r="BN211" s="71"/>
      <c r="BO211" s="71"/>
    </row>
    <row r="212" spans="2:67" ht="18.75" customHeight="1">
      <c r="B212" s="51" t="s">
        <v>361</v>
      </c>
      <c r="C212" s="73" t="s">
        <v>74</v>
      </c>
      <c r="D212" s="53" t="s">
        <v>361</v>
      </c>
      <c r="E212" s="115" t="s">
        <v>362</v>
      </c>
      <c r="F212" s="66"/>
      <c r="G212" s="66"/>
      <c r="H212" s="66"/>
      <c r="I212" s="66"/>
      <c r="J212" s="66"/>
      <c r="K212" s="66"/>
      <c r="L212" s="66"/>
      <c r="M212" s="66"/>
      <c r="N212" s="67">
        <v>6</v>
      </c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8"/>
      <c r="AS212" s="66"/>
      <c r="AT212" s="66"/>
      <c r="AU212" s="66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55"/>
      <c r="BG212" s="70"/>
      <c r="BH212" s="63">
        <f t="shared" si="8"/>
        <v>6</v>
      </c>
      <c r="BI212" s="63">
        <v>6</v>
      </c>
      <c r="BJ212" s="70"/>
      <c r="BK212" s="62">
        <f t="shared" si="9"/>
        <v>0</v>
      </c>
      <c r="BL212" s="63"/>
      <c r="BM212" s="71"/>
      <c r="BN212" s="71"/>
      <c r="BO212" s="71"/>
    </row>
    <row r="213" spans="2:67" ht="18.95" customHeight="1">
      <c r="B213" s="51" t="s">
        <v>363</v>
      </c>
      <c r="C213" s="73" t="s">
        <v>74</v>
      </c>
      <c r="D213" s="53" t="s">
        <v>363</v>
      </c>
      <c r="E213" s="115" t="s">
        <v>364</v>
      </c>
      <c r="F213" s="66"/>
      <c r="G213" s="66"/>
      <c r="H213" s="66"/>
      <c r="I213" s="66"/>
      <c r="J213" s="66"/>
      <c r="K213" s="66"/>
      <c r="L213" s="66"/>
      <c r="M213" s="66"/>
      <c r="N213" s="67">
        <v>2</v>
      </c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8"/>
      <c r="AS213" s="66"/>
      <c r="AT213" s="66"/>
      <c r="AU213" s="66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55"/>
      <c r="BG213" s="70"/>
      <c r="BH213" s="63">
        <f t="shared" si="8"/>
        <v>2</v>
      </c>
      <c r="BI213" s="63">
        <v>2</v>
      </c>
      <c r="BJ213" s="70"/>
      <c r="BK213" s="62">
        <f t="shared" si="9"/>
        <v>0</v>
      </c>
      <c r="BL213" s="63"/>
      <c r="BM213" s="71"/>
      <c r="BN213" s="71"/>
      <c r="BO213" s="71"/>
    </row>
    <row r="214" spans="2:67" ht="18.95" customHeight="1">
      <c r="B214" s="51" t="s">
        <v>365</v>
      </c>
      <c r="C214" s="73" t="s">
        <v>74</v>
      </c>
      <c r="D214" s="53" t="s">
        <v>365</v>
      </c>
      <c r="E214" s="115" t="s">
        <v>366</v>
      </c>
      <c r="F214" s="66"/>
      <c r="G214" s="66"/>
      <c r="H214" s="66"/>
      <c r="I214" s="66"/>
      <c r="J214" s="66"/>
      <c r="K214" s="66"/>
      <c r="L214" s="66"/>
      <c r="M214" s="66"/>
      <c r="N214" s="67">
        <v>2</v>
      </c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8"/>
      <c r="AS214" s="66"/>
      <c r="AT214" s="66"/>
      <c r="AU214" s="66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55"/>
      <c r="BG214" s="70"/>
      <c r="BH214" s="63">
        <f t="shared" si="8"/>
        <v>2</v>
      </c>
      <c r="BI214" s="63">
        <v>1</v>
      </c>
      <c r="BJ214" s="70"/>
      <c r="BK214" s="62">
        <f t="shared" si="9"/>
        <v>1</v>
      </c>
      <c r="BL214" s="63"/>
      <c r="BM214" s="71"/>
      <c r="BN214" s="71"/>
      <c r="BO214" s="71"/>
    </row>
    <row r="215" spans="2:67" ht="18.95" customHeight="1">
      <c r="B215" s="51" t="s">
        <v>367</v>
      </c>
      <c r="C215" s="73" t="s">
        <v>74</v>
      </c>
      <c r="D215" s="53" t="s">
        <v>367</v>
      </c>
      <c r="E215" s="115" t="s">
        <v>368</v>
      </c>
      <c r="F215" s="66"/>
      <c r="G215" s="66"/>
      <c r="H215" s="66"/>
      <c r="I215" s="66"/>
      <c r="J215" s="66"/>
      <c r="K215" s="66"/>
      <c r="L215" s="66"/>
      <c r="M215" s="66"/>
      <c r="N215" s="67">
        <v>1</v>
      </c>
      <c r="O215" s="66">
        <v>1</v>
      </c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8"/>
      <c r="AS215" s="66"/>
      <c r="AT215" s="66"/>
      <c r="AU215" s="66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55"/>
      <c r="BG215" s="70"/>
      <c r="BH215" s="63">
        <f t="shared" si="8"/>
        <v>2</v>
      </c>
      <c r="BI215" s="63">
        <v>1</v>
      </c>
      <c r="BJ215" s="70"/>
      <c r="BK215" s="62">
        <f t="shared" si="9"/>
        <v>1</v>
      </c>
      <c r="BL215" s="63"/>
      <c r="BM215" s="71"/>
      <c r="BN215" s="71"/>
      <c r="BO215" s="71"/>
    </row>
    <row r="216" spans="2:67" ht="18.95" customHeight="1">
      <c r="B216" s="51" t="s">
        <v>369</v>
      </c>
      <c r="C216" s="73" t="s">
        <v>74</v>
      </c>
      <c r="D216" s="53" t="s">
        <v>369</v>
      </c>
      <c r="E216" s="114" t="s">
        <v>370</v>
      </c>
      <c r="F216" s="66"/>
      <c r="G216" s="66"/>
      <c r="H216" s="66"/>
      <c r="I216" s="66"/>
      <c r="J216" s="66"/>
      <c r="K216" s="66"/>
      <c r="L216" s="66"/>
      <c r="M216" s="66"/>
      <c r="N216" s="67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8"/>
      <c r="AS216" s="66"/>
      <c r="AT216" s="66"/>
      <c r="AU216" s="66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55"/>
      <c r="BG216" s="70"/>
      <c r="BH216" s="63">
        <f t="shared" si="8"/>
        <v>0</v>
      </c>
      <c r="BI216" s="63">
        <v>3</v>
      </c>
      <c r="BJ216" s="70"/>
      <c r="BK216" s="62">
        <f t="shared" si="9"/>
        <v>-3</v>
      </c>
      <c r="BL216" s="63"/>
      <c r="BM216" s="71"/>
      <c r="BN216" s="71"/>
      <c r="BO216" s="71"/>
    </row>
    <row r="217" spans="2:67" ht="18.75" customHeight="1">
      <c r="B217" s="51" t="s">
        <v>371</v>
      </c>
      <c r="C217" s="73" t="s">
        <v>74</v>
      </c>
      <c r="D217" s="53" t="s">
        <v>371</v>
      </c>
      <c r="E217" s="114" t="s">
        <v>372</v>
      </c>
      <c r="F217" s="66"/>
      <c r="G217" s="66"/>
      <c r="H217" s="66"/>
      <c r="I217" s="66"/>
      <c r="J217" s="66"/>
      <c r="K217" s="66"/>
      <c r="L217" s="66"/>
      <c r="M217" s="66">
        <v>20</v>
      </c>
      <c r="N217" s="67">
        <v>20</v>
      </c>
      <c r="O217" s="66">
        <v>20</v>
      </c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8"/>
      <c r="AS217" s="66"/>
      <c r="AT217" s="66"/>
      <c r="AU217" s="66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55"/>
      <c r="BG217" s="70"/>
      <c r="BH217" s="63">
        <f t="shared" si="8"/>
        <v>60</v>
      </c>
      <c r="BI217" s="63">
        <v>60</v>
      </c>
      <c r="BJ217" s="70"/>
      <c r="BK217" s="62">
        <f t="shared" si="9"/>
        <v>0</v>
      </c>
      <c r="BL217" s="63"/>
      <c r="BM217" s="71"/>
      <c r="BN217" s="71"/>
      <c r="BO217" s="71"/>
    </row>
    <row r="218" spans="2:67" ht="18.95" customHeight="1">
      <c r="B218" s="51" t="s">
        <v>373</v>
      </c>
      <c r="C218" s="73" t="s">
        <v>74</v>
      </c>
      <c r="D218" s="53" t="s">
        <v>373</v>
      </c>
      <c r="E218" s="115" t="s">
        <v>374</v>
      </c>
      <c r="F218" s="66"/>
      <c r="G218" s="66"/>
      <c r="H218" s="66"/>
      <c r="I218" s="66"/>
      <c r="J218" s="66"/>
      <c r="K218" s="66"/>
      <c r="L218" s="66"/>
      <c r="M218" s="66"/>
      <c r="N218" s="67">
        <v>1</v>
      </c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8"/>
      <c r="AS218" s="66"/>
      <c r="AT218" s="66"/>
      <c r="AU218" s="66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55"/>
      <c r="BG218" s="70"/>
      <c r="BH218" s="63">
        <f t="shared" si="8"/>
        <v>1</v>
      </c>
      <c r="BI218" s="63">
        <v>1</v>
      </c>
      <c r="BJ218" s="70"/>
      <c r="BK218" s="62">
        <f t="shared" si="9"/>
        <v>0</v>
      </c>
      <c r="BL218" s="63"/>
      <c r="BM218" s="71"/>
      <c r="BN218" s="71"/>
      <c r="BO218" s="71"/>
    </row>
    <row r="219" spans="2:67" ht="18.95" customHeight="1">
      <c r="B219" s="51" t="s">
        <v>375</v>
      </c>
      <c r="C219" s="73" t="s">
        <v>74</v>
      </c>
      <c r="D219" s="53" t="s">
        <v>375</v>
      </c>
      <c r="E219" s="115" t="s">
        <v>376</v>
      </c>
      <c r="F219" s="66"/>
      <c r="G219" s="66"/>
      <c r="H219" s="66"/>
      <c r="I219" s="66"/>
      <c r="J219" s="66"/>
      <c r="K219" s="66"/>
      <c r="L219" s="66"/>
      <c r="M219" s="66"/>
      <c r="N219" s="67">
        <v>1</v>
      </c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8"/>
      <c r="AS219" s="66"/>
      <c r="AT219" s="66"/>
      <c r="AU219" s="66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55"/>
      <c r="BG219" s="70"/>
      <c r="BH219" s="63">
        <f t="shared" si="8"/>
        <v>1</v>
      </c>
      <c r="BI219" s="63">
        <v>1</v>
      </c>
      <c r="BJ219" s="70"/>
      <c r="BK219" s="62">
        <f t="shared" si="9"/>
        <v>0</v>
      </c>
      <c r="BL219" s="63"/>
      <c r="BM219" s="71"/>
      <c r="BN219" s="71"/>
      <c r="BO219" s="71"/>
    </row>
    <row r="220" spans="2:67" ht="18.75" customHeight="1">
      <c r="B220" s="51" t="s">
        <v>377</v>
      </c>
      <c r="C220" s="73" t="s">
        <v>74</v>
      </c>
      <c r="D220" s="53" t="s">
        <v>377</v>
      </c>
      <c r="E220" s="115" t="s">
        <v>378</v>
      </c>
      <c r="F220" s="66"/>
      <c r="G220" s="66"/>
      <c r="H220" s="66"/>
      <c r="I220" s="66"/>
      <c r="J220" s="66"/>
      <c r="K220" s="66"/>
      <c r="L220" s="66"/>
      <c r="M220" s="66"/>
      <c r="N220" s="67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>
        <v>1</v>
      </c>
      <c r="AK220" s="66"/>
      <c r="AL220" s="75"/>
      <c r="AM220" s="66"/>
      <c r="AN220" s="66"/>
      <c r="AO220" s="66"/>
      <c r="AP220" s="66"/>
      <c r="AQ220" s="66"/>
      <c r="AR220" s="68"/>
      <c r="AS220" s="66"/>
      <c r="AT220" s="66"/>
      <c r="AU220" s="66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55"/>
      <c r="BG220" s="70"/>
      <c r="BH220" s="63">
        <f t="shared" si="8"/>
        <v>1</v>
      </c>
      <c r="BI220" s="63">
        <v>1</v>
      </c>
      <c r="BJ220" s="70"/>
      <c r="BK220" s="62">
        <f t="shared" si="9"/>
        <v>0</v>
      </c>
      <c r="BL220" s="63"/>
      <c r="BM220" s="71"/>
      <c r="BN220" s="71"/>
      <c r="BO220" s="71"/>
    </row>
    <row r="221" spans="2:67" ht="18.75" customHeight="1">
      <c r="B221" s="51" t="s">
        <v>379</v>
      </c>
      <c r="C221" s="73" t="s">
        <v>74</v>
      </c>
      <c r="D221" s="53" t="s">
        <v>379</v>
      </c>
      <c r="E221" s="114" t="s">
        <v>380</v>
      </c>
      <c r="F221" s="66"/>
      <c r="G221" s="66"/>
      <c r="H221" s="66"/>
      <c r="I221" s="66"/>
      <c r="J221" s="66"/>
      <c r="K221" s="66"/>
      <c r="L221" s="66"/>
      <c r="M221" s="66"/>
      <c r="N221" s="67"/>
      <c r="O221" s="66"/>
      <c r="P221" s="66">
        <v>9</v>
      </c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75"/>
      <c r="AM221" s="66"/>
      <c r="AN221" s="66"/>
      <c r="AO221" s="66"/>
      <c r="AP221" s="66"/>
      <c r="AQ221" s="66"/>
      <c r="AR221" s="68"/>
      <c r="AS221" s="66"/>
      <c r="AT221" s="66"/>
      <c r="AU221" s="66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55"/>
      <c r="BG221" s="70">
        <v>2</v>
      </c>
      <c r="BH221" s="63">
        <f t="shared" si="8"/>
        <v>11</v>
      </c>
      <c r="BI221" s="63">
        <v>11</v>
      </c>
      <c r="BJ221" s="70"/>
      <c r="BK221" s="62">
        <f t="shared" si="9"/>
        <v>0</v>
      </c>
      <c r="BL221" s="63"/>
      <c r="BM221" s="71"/>
      <c r="BN221" s="71"/>
      <c r="BO221" s="71"/>
    </row>
    <row r="222" spans="2:67" ht="18.75" customHeight="1">
      <c r="B222" s="51" t="s">
        <v>381</v>
      </c>
      <c r="C222" s="73" t="s">
        <v>74</v>
      </c>
      <c r="D222" s="53" t="s">
        <v>381</v>
      </c>
      <c r="E222" s="115" t="s">
        <v>382</v>
      </c>
      <c r="F222" s="66"/>
      <c r="G222" s="66"/>
      <c r="H222" s="66"/>
      <c r="I222" s="66"/>
      <c r="J222" s="66"/>
      <c r="K222" s="66"/>
      <c r="L222" s="66"/>
      <c r="M222" s="66"/>
      <c r="N222" s="67">
        <v>1</v>
      </c>
      <c r="O222" s="66"/>
      <c r="P222" s="66"/>
      <c r="Q222" s="66"/>
      <c r="R222" s="66"/>
      <c r="S222" s="66"/>
      <c r="T222" s="66"/>
      <c r="U222" s="66">
        <v>1</v>
      </c>
      <c r="V222" s="66"/>
      <c r="W222" s="66"/>
      <c r="X222" s="66"/>
      <c r="Y222" s="66"/>
      <c r="Z222" s="66"/>
      <c r="AA222" s="66">
        <v>1</v>
      </c>
      <c r="AB222" s="66">
        <v>1</v>
      </c>
      <c r="AC222" s="66"/>
      <c r="AD222" s="66"/>
      <c r="AE222" s="66">
        <v>1</v>
      </c>
      <c r="AF222" s="66"/>
      <c r="AG222" s="66"/>
      <c r="AH222" s="66"/>
      <c r="AI222" s="66"/>
      <c r="AJ222" s="66"/>
      <c r="AK222" s="66"/>
      <c r="AL222" s="66"/>
      <c r="AM222" s="66"/>
      <c r="AN222" s="66">
        <v>1</v>
      </c>
      <c r="AO222" s="66"/>
      <c r="AP222" s="66"/>
      <c r="AQ222" s="66"/>
      <c r="AR222" s="68"/>
      <c r="AS222" s="66"/>
      <c r="AT222" s="66">
        <v>1</v>
      </c>
      <c r="AU222" s="66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55"/>
      <c r="BG222" s="70">
        <v>3</v>
      </c>
      <c r="BH222" s="63">
        <f t="shared" si="8"/>
        <v>10</v>
      </c>
      <c r="BI222" s="63">
        <v>30</v>
      </c>
      <c r="BJ222" s="70"/>
      <c r="BK222" s="62">
        <f t="shared" si="9"/>
        <v>-20</v>
      </c>
      <c r="BL222" s="63"/>
      <c r="BM222" s="71"/>
      <c r="BN222" s="65"/>
      <c r="BO222" s="65"/>
    </row>
    <row r="223" spans="2:67" ht="30" customHeight="1">
      <c r="B223" s="51" t="s">
        <v>383</v>
      </c>
      <c r="C223" s="73" t="s">
        <v>74</v>
      </c>
      <c r="D223" s="53" t="s">
        <v>383</v>
      </c>
      <c r="E223" s="114" t="s">
        <v>384</v>
      </c>
      <c r="F223" s="55"/>
      <c r="G223" s="66"/>
      <c r="H223" s="66"/>
      <c r="I223" s="66"/>
      <c r="J223" s="66"/>
      <c r="K223" s="66"/>
      <c r="L223" s="66"/>
      <c r="M223" s="66"/>
      <c r="N223" s="67"/>
      <c r="O223" s="66"/>
      <c r="P223" s="66"/>
      <c r="Q223" s="66"/>
      <c r="R223" s="66"/>
      <c r="S223" s="66"/>
      <c r="T223" s="66"/>
      <c r="U223" s="66"/>
      <c r="V223" s="66">
        <v>1</v>
      </c>
      <c r="W223" s="66"/>
      <c r="X223" s="66">
        <v>1</v>
      </c>
      <c r="Y223" s="66">
        <v>1</v>
      </c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75"/>
      <c r="AM223" s="66"/>
      <c r="AN223" s="66"/>
      <c r="AO223" s="66"/>
      <c r="AP223" s="66"/>
      <c r="AQ223" s="66"/>
      <c r="AR223" s="68"/>
      <c r="AS223" s="66"/>
      <c r="AT223" s="66"/>
      <c r="AU223" s="66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55"/>
      <c r="BG223" s="70">
        <v>1</v>
      </c>
      <c r="BH223" s="63">
        <f t="shared" si="8"/>
        <v>4</v>
      </c>
      <c r="BI223" s="63">
        <v>4</v>
      </c>
      <c r="BJ223" s="70"/>
      <c r="BK223" s="62">
        <f t="shared" si="9"/>
        <v>0</v>
      </c>
      <c r="BL223" s="63"/>
      <c r="BM223" s="71"/>
      <c r="BN223" s="65"/>
      <c r="BO223" s="65"/>
    </row>
    <row r="224" spans="2:67" ht="18.75" customHeight="1">
      <c r="B224" s="51" t="s">
        <v>385</v>
      </c>
      <c r="C224" s="73" t="s">
        <v>74</v>
      </c>
      <c r="D224" s="53" t="s">
        <v>385</v>
      </c>
      <c r="E224" s="114" t="s">
        <v>386</v>
      </c>
      <c r="F224" s="66"/>
      <c r="G224" s="66">
        <v>10</v>
      </c>
      <c r="H224" s="66">
        <v>10</v>
      </c>
      <c r="I224" s="66"/>
      <c r="J224" s="66">
        <v>10</v>
      </c>
      <c r="K224" s="66">
        <v>21</v>
      </c>
      <c r="L224" s="66">
        <v>10</v>
      </c>
      <c r="M224" s="66">
        <v>10</v>
      </c>
      <c r="N224" s="67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8"/>
      <c r="AS224" s="66"/>
      <c r="AT224" s="66"/>
      <c r="AU224" s="66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55"/>
      <c r="BG224" s="70"/>
      <c r="BH224" s="63">
        <f t="shared" si="8"/>
        <v>71</v>
      </c>
      <c r="BI224" s="63">
        <v>50</v>
      </c>
      <c r="BJ224" s="70"/>
      <c r="BK224" s="62">
        <f t="shared" si="9"/>
        <v>21</v>
      </c>
      <c r="BL224" s="63"/>
      <c r="BM224" s="71"/>
      <c r="BN224" s="71"/>
      <c r="BO224" s="71"/>
    </row>
    <row r="225" spans="2:67">
      <c r="B225" s="87"/>
      <c r="C225" s="87"/>
      <c r="D225" s="87"/>
      <c r="E225" s="87"/>
    </row>
    <row r="226" spans="2:67">
      <c r="B226" s="87"/>
      <c r="C226" s="87"/>
      <c r="D226" s="87"/>
      <c r="E226" s="87"/>
    </row>
    <row r="227" spans="2:67">
      <c r="B227" s="87"/>
      <c r="C227" s="87"/>
      <c r="D227" s="87"/>
      <c r="E227" s="87"/>
    </row>
    <row r="228" spans="2:67">
      <c r="B228" s="87"/>
      <c r="C228" s="87"/>
      <c r="D228" s="87"/>
      <c r="E228" s="87"/>
    </row>
    <row r="229" spans="2:67">
      <c r="B229" s="87"/>
      <c r="C229" s="87"/>
      <c r="D229" s="87"/>
      <c r="E229" s="87"/>
    </row>
    <row r="230" spans="2:67">
      <c r="B230" s="87"/>
      <c r="C230" s="87"/>
      <c r="D230" s="87"/>
      <c r="E230" s="87"/>
    </row>
    <row r="231" spans="2:67">
      <c r="B231" s="87"/>
      <c r="C231" s="87"/>
      <c r="D231" s="87"/>
      <c r="E231" s="87"/>
    </row>
    <row r="232" spans="2:67">
      <c r="B232" s="87"/>
      <c r="C232" s="87"/>
      <c r="D232" s="87"/>
      <c r="E232" s="87"/>
    </row>
    <row r="233" spans="2:67">
      <c r="B233" s="87"/>
      <c r="C233" s="87"/>
      <c r="D233" s="87"/>
      <c r="E233" s="87"/>
    </row>
    <row r="234" spans="2:67">
      <c r="B234" s="87"/>
      <c r="C234" s="87"/>
      <c r="D234" s="87"/>
      <c r="E234" s="87"/>
    </row>
    <row r="235" spans="2:67">
      <c r="B235" s="87"/>
      <c r="C235" s="87"/>
      <c r="D235" s="87"/>
      <c r="E235" s="87"/>
    </row>
    <row r="236" spans="2:67">
      <c r="B236" s="87"/>
      <c r="C236" s="87"/>
      <c r="D236" s="87"/>
      <c r="E236" s="87"/>
    </row>
    <row r="237" spans="2:67">
      <c r="B237" s="2" t="s">
        <v>1</v>
      </c>
      <c r="C237" s="2"/>
      <c r="D237" s="2"/>
      <c r="E237" s="2"/>
      <c r="F237" s="3"/>
      <c r="G237" s="4"/>
      <c r="H237" s="4"/>
      <c r="I237" s="4"/>
      <c r="J237" s="4"/>
      <c r="K237" s="4"/>
      <c r="L237" s="4"/>
      <c r="M237" s="4"/>
      <c r="N237" s="107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5"/>
      <c r="AF237" s="5"/>
      <c r="AG237" s="5"/>
      <c r="AH237" s="5"/>
      <c r="AI237" s="5"/>
      <c r="AJ237" s="5"/>
      <c r="AK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7"/>
      <c r="BI237" s="7"/>
      <c r="BJ237" s="5"/>
      <c r="BK237" s="5"/>
      <c r="BM237" s="5"/>
      <c r="BN237" s="5"/>
      <c r="BO237" s="5"/>
    </row>
    <row r="238" spans="2:67" ht="18.75" customHeight="1">
      <c r="B238" s="2"/>
      <c r="C238" s="2"/>
      <c r="D238" s="2"/>
      <c r="E238" s="2"/>
      <c r="F238" s="1" t="s"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9" t="s">
        <v>387</v>
      </c>
      <c r="BG238" s="10"/>
      <c r="BH238" s="10"/>
      <c r="BI238" s="10"/>
      <c r="BJ238" s="10"/>
      <c r="BK238" s="10"/>
      <c r="BL238" s="10"/>
      <c r="BM238" s="10"/>
      <c r="BN238" s="10"/>
      <c r="BO238" s="11"/>
    </row>
    <row r="239" spans="2:67">
      <c r="B239" s="12"/>
      <c r="C239" s="12"/>
      <c r="D239" s="12"/>
      <c r="E239" s="12"/>
      <c r="F239" s="13"/>
      <c r="G239" s="14" t="s">
        <v>3</v>
      </c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"/>
      <c r="AM239" s="15"/>
      <c r="AN239" s="15"/>
      <c r="AO239" s="15"/>
      <c r="AP239" s="15"/>
      <c r="AQ239" s="15"/>
      <c r="AR239" s="17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8"/>
      <c r="BM239" s="15"/>
      <c r="BN239" s="15"/>
      <c r="BO239" s="15"/>
    </row>
    <row r="240" spans="2:67" ht="15">
      <c r="B240" s="19" t="s">
        <v>4</v>
      </c>
      <c r="C240" s="20" t="s">
        <v>5</v>
      </c>
      <c r="D240" s="20"/>
      <c r="E240" s="21" t="s">
        <v>6</v>
      </c>
      <c r="F240" s="110" t="s">
        <v>135</v>
      </c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24" t="s">
        <v>8</v>
      </c>
      <c r="BG240" s="25"/>
      <c r="BH240" s="25"/>
      <c r="BI240" s="26"/>
      <c r="BJ240" s="31" t="s">
        <v>9</v>
      </c>
      <c r="BK240" s="32"/>
      <c r="BL240" s="29"/>
      <c r="BM240" s="30"/>
      <c r="BN240" s="31" t="s">
        <v>10</v>
      </c>
      <c r="BO240" s="32"/>
    </row>
    <row r="241" spans="2:67" ht="110.1" customHeight="1">
      <c r="B241" s="33"/>
      <c r="C241" s="34" t="s">
        <v>11</v>
      </c>
      <c r="D241" s="35" t="s">
        <v>4</v>
      </c>
      <c r="E241" s="35" t="s">
        <v>12</v>
      </c>
      <c r="F241" s="36" t="s">
        <v>13</v>
      </c>
      <c r="G241" s="36" t="s">
        <v>14</v>
      </c>
      <c r="H241" s="36" t="s">
        <v>15</v>
      </c>
      <c r="I241" s="36" t="s">
        <v>16</v>
      </c>
      <c r="J241" s="36" t="s">
        <v>17</v>
      </c>
      <c r="K241" s="36" t="s">
        <v>18</v>
      </c>
      <c r="L241" s="36" t="s">
        <v>19</v>
      </c>
      <c r="M241" s="36" t="s">
        <v>20</v>
      </c>
      <c r="N241" s="37" t="s">
        <v>21</v>
      </c>
      <c r="O241" s="36" t="s">
        <v>22</v>
      </c>
      <c r="P241" s="36" t="s">
        <v>23</v>
      </c>
      <c r="Q241" s="36" t="s">
        <v>24</v>
      </c>
      <c r="R241" s="36" t="s">
        <v>25</v>
      </c>
      <c r="S241" s="36" t="s">
        <v>26</v>
      </c>
      <c r="T241" s="36" t="s">
        <v>27</v>
      </c>
      <c r="U241" s="36" t="s">
        <v>28</v>
      </c>
      <c r="V241" s="36" t="s">
        <v>29</v>
      </c>
      <c r="W241" s="36" t="s">
        <v>30</v>
      </c>
      <c r="X241" s="38" t="s">
        <v>31</v>
      </c>
      <c r="Y241" s="36" t="s">
        <v>32</v>
      </c>
      <c r="Z241" s="36" t="s">
        <v>33</v>
      </c>
      <c r="AA241" s="36" t="s">
        <v>34</v>
      </c>
      <c r="AB241" s="38" t="s">
        <v>35</v>
      </c>
      <c r="AC241" s="36" t="s">
        <v>36</v>
      </c>
      <c r="AD241" s="39" t="s">
        <v>37</v>
      </c>
      <c r="AE241" s="36" t="s">
        <v>38</v>
      </c>
      <c r="AF241" s="40" t="s">
        <v>39</v>
      </c>
      <c r="AG241" s="40" t="s">
        <v>40</v>
      </c>
      <c r="AH241" s="40" t="s">
        <v>41</v>
      </c>
      <c r="AI241" s="40" t="s">
        <v>42</v>
      </c>
      <c r="AJ241" s="40" t="s">
        <v>43</v>
      </c>
      <c r="AK241" s="40" t="s">
        <v>44</v>
      </c>
      <c r="AL241" s="41" t="s">
        <v>45</v>
      </c>
      <c r="AM241" s="42" t="s">
        <v>46</v>
      </c>
      <c r="AN241" s="43" t="s">
        <v>47</v>
      </c>
      <c r="AO241" s="40" t="s">
        <v>48</v>
      </c>
      <c r="AP241" s="40" t="s">
        <v>49</v>
      </c>
      <c r="AQ241" s="40" t="s">
        <v>50</v>
      </c>
      <c r="AR241" s="44" t="s">
        <v>136</v>
      </c>
      <c r="AS241" s="36" t="s">
        <v>52</v>
      </c>
      <c r="AT241" s="36" t="s">
        <v>53</v>
      </c>
      <c r="AU241" s="36" t="s">
        <v>54</v>
      </c>
      <c r="AV241" s="36" t="s">
        <v>55</v>
      </c>
      <c r="AW241" s="36" t="s">
        <v>56</v>
      </c>
      <c r="AX241" s="36" t="s">
        <v>203</v>
      </c>
      <c r="AY241" s="36" t="s">
        <v>58</v>
      </c>
      <c r="AZ241" s="38" t="s">
        <v>59</v>
      </c>
      <c r="BA241" s="36" t="s">
        <v>60</v>
      </c>
      <c r="BB241" s="36" t="s">
        <v>61</v>
      </c>
      <c r="BC241" s="39" t="s">
        <v>62</v>
      </c>
      <c r="BD241" s="36" t="s">
        <v>63</v>
      </c>
      <c r="BE241" s="36" t="s">
        <v>64</v>
      </c>
      <c r="BF241" s="45" t="s">
        <v>65</v>
      </c>
      <c r="BG241" s="45" t="s">
        <v>66</v>
      </c>
      <c r="BH241" s="45" t="s">
        <v>67</v>
      </c>
      <c r="BI241" s="45" t="s">
        <v>68</v>
      </c>
      <c r="BJ241" s="46" t="s">
        <v>69</v>
      </c>
      <c r="BK241" s="46" t="s">
        <v>70</v>
      </c>
      <c r="BL241" s="47" t="s">
        <v>71</v>
      </c>
      <c r="BM241" s="48" t="s">
        <v>72</v>
      </c>
      <c r="BN241" s="49" t="s">
        <v>69</v>
      </c>
      <c r="BO241" s="50" t="s">
        <v>70</v>
      </c>
    </row>
    <row r="242" spans="2:67" ht="18.95" customHeight="1">
      <c r="B242" s="51" t="s">
        <v>388</v>
      </c>
      <c r="C242" s="52" t="s">
        <v>74</v>
      </c>
      <c r="D242" s="53" t="s">
        <v>388</v>
      </c>
      <c r="E242" s="114" t="s">
        <v>389</v>
      </c>
      <c r="F242" s="55"/>
      <c r="G242" s="55"/>
      <c r="H242" s="55"/>
      <c r="I242" s="55"/>
      <c r="J242" s="55"/>
      <c r="K242" s="55"/>
      <c r="L242" s="55"/>
      <c r="M242" s="55"/>
      <c r="N242" s="56"/>
      <c r="O242" s="55"/>
      <c r="P242" s="55"/>
      <c r="Q242" s="57"/>
      <c r="R242" s="55"/>
      <c r="S242" s="58"/>
      <c r="T242" s="58" t="s">
        <v>390</v>
      </c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7"/>
      <c r="AF242" s="57"/>
      <c r="AG242" s="57"/>
      <c r="AH242" s="57"/>
      <c r="AI242" s="57"/>
      <c r="AJ242" s="57"/>
      <c r="AK242" s="57"/>
      <c r="AL242" s="59"/>
      <c r="AM242" s="57"/>
      <c r="AN242" s="57"/>
      <c r="AO242" s="55"/>
      <c r="AP242" s="55"/>
      <c r="AQ242" s="57"/>
      <c r="AR242" s="60"/>
      <c r="AS242" s="57"/>
      <c r="AT242" s="57"/>
      <c r="AU242" s="57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57">
        <v>2</v>
      </c>
      <c r="BG242" s="62"/>
      <c r="BH242" s="57">
        <v>4</v>
      </c>
      <c r="BI242" s="64">
        <v>4</v>
      </c>
      <c r="BJ242" s="62"/>
      <c r="BK242" s="62">
        <f>BH242-BI242</f>
        <v>0</v>
      </c>
      <c r="BL242" s="64"/>
      <c r="BM242" s="65"/>
      <c r="BN242" s="65"/>
      <c r="BO242" s="65"/>
    </row>
    <row r="243" spans="2:67" ht="18.95" customHeight="1">
      <c r="B243" s="51"/>
      <c r="C243" s="52" t="s">
        <v>74</v>
      </c>
      <c r="D243" s="53" t="s">
        <v>391</v>
      </c>
      <c r="E243" s="114" t="s">
        <v>392</v>
      </c>
      <c r="F243" s="66"/>
      <c r="G243" s="66"/>
      <c r="H243" s="66"/>
      <c r="I243" s="66"/>
      <c r="J243" s="66"/>
      <c r="K243" s="66"/>
      <c r="L243" s="66"/>
      <c r="M243" s="66"/>
      <c r="N243" s="67"/>
      <c r="O243" s="66"/>
      <c r="P243" s="66"/>
      <c r="Q243" s="127"/>
      <c r="R243" s="66"/>
      <c r="S243" s="128"/>
      <c r="T243" s="128"/>
      <c r="U243" s="66"/>
      <c r="V243" s="66">
        <v>1</v>
      </c>
      <c r="W243" s="66"/>
      <c r="X243" s="66"/>
      <c r="Y243" s="66"/>
      <c r="Z243" s="66"/>
      <c r="AA243" s="66">
        <v>1</v>
      </c>
      <c r="AB243" s="66"/>
      <c r="AC243" s="66">
        <v>1</v>
      </c>
      <c r="AD243" s="66"/>
      <c r="AE243" s="127"/>
      <c r="AF243" s="127"/>
      <c r="AG243" s="66"/>
      <c r="AH243" s="66">
        <v>2</v>
      </c>
      <c r="AI243" s="66">
        <v>1</v>
      </c>
      <c r="AJ243" s="127"/>
      <c r="AK243" s="127">
        <v>1</v>
      </c>
      <c r="AL243" s="129"/>
      <c r="AM243" s="127"/>
      <c r="AN243" s="127"/>
      <c r="AO243" s="66"/>
      <c r="AP243" s="66"/>
      <c r="AQ243" s="127"/>
      <c r="AR243" s="130"/>
      <c r="AS243" s="127"/>
      <c r="AT243" s="127"/>
      <c r="AU243" s="127"/>
      <c r="AV243" s="131"/>
      <c r="AW243" s="131"/>
      <c r="AX243" s="131"/>
      <c r="AY243" s="131"/>
      <c r="AZ243" s="131"/>
      <c r="BA243" s="131"/>
      <c r="BB243" s="131"/>
      <c r="BC243" s="131"/>
      <c r="BD243" s="131"/>
      <c r="BE243" s="131"/>
      <c r="BF243" s="55"/>
      <c r="BG243" s="70"/>
      <c r="BH243" s="63">
        <f t="shared" ref="BH243:BH271" si="10">SUM(F243:BG243)</f>
        <v>7</v>
      </c>
      <c r="BI243" s="63">
        <v>7</v>
      </c>
      <c r="BJ243" s="70"/>
      <c r="BK243" s="62">
        <f t="shared" ref="BK243:BK271" si="11">BH243-BI243</f>
        <v>0</v>
      </c>
      <c r="BL243" s="63"/>
      <c r="BM243" s="65"/>
      <c r="BN243" s="65"/>
      <c r="BO243" s="65"/>
    </row>
    <row r="244" spans="2:67" ht="18.95" customHeight="1">
      <c r="B244" s="51" t="s">
        <v>391</v>
      </c>
      <c r="C244" s="52" t="s">
        <v>74</v>
      </c>
      <c r="D244" s="53" t="s">
        <v>393</v>
      </c>
      <c r="E244" s="115" t="s">
        <v>394</v>
      </c>
      <c r="F244" s="66"/>
      <c r="G244" s="66"/>
      <c r="H244" s="66"/>
      <c r="I244" s="66"/>
      <c r="J244" s="66"/>
      <c r="K244" s="66"/>
      <c r="L244" s="66"/>
      <c r="M244" s="66"/>
      <c r="N244" s="67"/>
      <c r="O244" s="66"/>
      <c r="P244" s="66"/>
      <c r="Q244" s="66"/>
      <c r="R244" s="66"/>
      <c r="S244" s="66"/>
      <c r="T244" s="66"/>
      <c r="U244" s="66"/>
      <c r="V244" s="66"/>
      <c r="W244" s="66"/>
      <c r="X244" s="66">
        <v>1</v>
      </c>
      <c r="Y244" s="66"/>
      <c r="Z244" s="66"/>
      <c r="AA244" s="66"/>
      <c r="AB244" s="66"/>
      <c r="AC244" s="66"/>
      <c r="AD244" s="66">
        <v>1</v>
      </c>
      <c r="AE244" s="66"/>
      <c r="AF244" s="66"/>
      <c r="AG244" s="66">
        <v>1</v>
      </c>
      <c r="AH244" s="66"/>
      <c r="AI244" s="66"/>
      <c r="AJ244" s="66">
        <v>1</v>
      </c>
      <c r="AK244" s="66"/>
      <c r="AL244" s="66"/>
      <c r="AM244" s="66"/>
      <c r="AN244" s="66"/>
      <c r="AO244" s="66"/>
      <c r="AP244" s="66"/>
      <c r="AQ244" s="66">
        <v>1</v>
      </c>
      <c r="AR244" s="68"/>
      <c r="AS244" s="66"/>
      <c r="AT244" s="66"/>
      <c r="AU244" s="66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55"/>
      <c r="BG244" s="70"/>
      <c r="BH244" s="63">
        <f t="shared" si="10"/>
        <v>5</v>
      </c>
      <c r="BI244" s="63">
        <v>5</v>
      </c>
      <c r="BJ244" s="70"/>
      <c r="BK244" s="62">
        <f t="shared" si="11"/>
        <v>0</v>
      </c>
      <c r="BL244" s="63"/>
      <c r="BM244" s="71"/>
      <c r="BN244" s="71"/>
      <c r="BO244" s="72"/>
    </row>
    <row r="245" spans="2:67" ht="30" customHeight="1">
      <c r="B245" s="51" t="s">
        <v>393</v>
      </c>
      <c r="C245" s="73" t="s">
        <v>74</v>
      </c>
      <c r="D245" s="53" t="s">
        <v>395</v>
      </c>
      <c r="E245" s="114" t="s">
        <v>396</v>
      </c>
      <c r="F245" s="66"/>
      <c r="G245" s="66"/>
      <c r="H245" s="66"/>
      <c r="I245" s="66"/>
      <c r="J245" s="66"/>
      <c r="K245" s="66"/>
      <c r="L245" s="66"/>
      <c r="M245" s="66"/>
      <c r="N245" s="67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8"/>
      <c r="AS245" s="66">
        <v>1</v>
      </c>
      <c r="AT245" s="66"/>
      <c r="AU245" s="66">
        <v>1</v>
      </c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55"/>
      <c r="BG245" s="70">
        <v>13</v>
      </c>
      <c r="BH245" s="63">
        <f t="shared" si="10"/>
        <v>15</v>
      </c>
      <c r="BI245" s="63">
        <v>15</v>
      </c>
      <c r="BJ245" s="70"/>
      <c r="BK245" s="62">
        <f t="shared" si="11"/>
        <v>0</v>
      </c>
      <c r="BL245" s="63"/>
      <c r="BM245" s="71"/>
      <c r="BN245" s="72"/>
      <c r="BO245" s="71"/>
    </row>
    <row r="246" spans="2:67" ht="18.95" customHeight="1">
      <c r="B246" s="51" t="s">
        <v>395</v>
      </c>
      <c r="C246" s="73" t="s">
        <v>74</v>
      </c>
      <c r="D246" s="53" t="s">
        <v>397</v>
      </c>
      <c r="E246" s="114" t="s">
        <v>398</v>
      </c>
      <c r="F246" s="66"/>
      <c r="G246" s="66"/>
      <c r="H246" s="66"/>
      <c r="I246" s="66"/>
      <c r="J246" s="66"/>
      <c r="K246" s="66"/>
      <c r="L246" s="66"/>
      <c r="M246" s="66"/>
      <c r="N246" s="67">
        <v>3</v>
      </c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8"/>
      <c r="AS246" s="66"/>
      <c r="AT246" s="66"/>
      <c r="AU246" s="66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55"/>
      <c r="BG246" s="70"/>
      <c r="BH246" s="63">
        <f t="shared" si="10"/>
        <v>3</v>
      </c>
      <c r="BI246" s="63">
        <v>3</v>
      </c>
      <c r="BJ246" s="70"/>
      <c r="BK246" s="62">
        <f t="shared" si="11"/>
        <v>0</v>
      </c>
      <c r="BL246" s="63"/>
      <c r="BM246" s="71"/>
      <c r="BN246" s="71"/>
      <c r="BO246" s="71"/>
    </row>
    <row r="247" spans="2:67" ht="18.75" customHeight="1">
      <c r="B247" s="51" t="s">
        <v>397</v>
      </c>
      <c r="C247" s="73" t="s">
        <v>74</v>
      </c>
      <c r="D247" s="53" t="s">
        <v>399</v>
      </c>
      <c r="E247" s="114" t="s">
        <v>400</v>
      </c>
      <c r="F247" s="66"/>
      <c r="G247" s="66"/>
      <c r="H247" s="66"/>
      <c r="I247" s="66"/>
      <c r="J247" s="66"/>
      <c r="K247" s="66"/>
      <c r="L247" s="66"/>
      <c r="M247" s="66"/>
      <c r="N247" s="67">
        <v>3</v>
      </c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8"/>
      <c r="AS247" s="66"/>
      <c r="AT247" s="66"/>
      <c r="AU247" s="66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55"/>
      <c r="BG247" s="70"/>
      <c r="BH247" s="63">
        <f t="shared" si="10"/>
        <v>3</v>
      </c>
      <c r="BI247" s="63">
        <v>3</v>
      </c>
      <c r="BJ247" s="70"/>
      <c r="BK247" s="62">
        <f t="shared" si="11"/>
        <v>0</v>
      </c>
      <c r="BL247" s="63"/>
      <c r="BM247" s="71"/>
      <c r="BN247" s="71"/>
      <c r="BO247" s="71"/>
    </row>
    <row r="248" spans="2:67" ht="60" customHeight="1">
      <c r="B248" s="51" t="s">
        <v>399</v>
      </c>
      <c r="C248" s="73" t="s">
        <v>74</v>
      </c>
      <c r="D248" s="53" t="s">
        <v>401</v>
      </c>
      <c r="E248" s="114" t="s">
        <v>402</v>
      </c>
      <c r="F248" s="66"/>
      <c r="G248" s="66"/>
      <c r="H248" s="66"/>
      <c r="I248" s="66"/>
      <c r="J248" s="66"/>
      <c r="K248" s="66"/>
      <c r="L248" s="66"/>
      <c r="M248" s="66"/>
      <c r="N248" s="67">
        <v>1</v>
      </c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8"/>
      <c r="AS248" s="66"/>
      <c r="AT248" s="66"/>
      <c r="AU248" s="66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55"/>
      <c r="BG248" s="70"/>
      <c r="BH248" s="63">
        <f t="shared" si="10"/>
        <v>1</v>
      </c>
      <c r="BI248" s="63">
        <v>1</v>
      </c>
      <c r="BJ248" s="70"/>
      <c r="BK248" s="62">
        <f t="shared" si="11"/>
        <v>0</v>
      </c>
      <c r="BL248" s="63"/>
      <c r="BM248" s="71"/>
      <c r="BN248" s="71"/>
      <c r="BO248" s="71"/>
    </row>
    <row r="249" spans="2:67" ht="18.75" customHeight="1">
      <c r="B249" s="51" t="s">
        <v>401</v>
      </c>
      <c r="C249" s="73" t="s">
        <v>74</v>
      </c>
      <c r="D249" s="53" t="s">
        <v>403</v>
      </c>
      <c r="E249" s="114" t="s">
        <v>404</v>
      </c>
      <c r="F249" s="66"/>
      <c r="G249" s="66"/>
      <c r="H249" s="66"/>
      <c r="I249" s="66"/>
      <c r="J249" s="66"/>
      <c r="K249" s="66"/>
      <c r="L249" s="66"/>
      <c r="M249" s="66"/>
      <c r="N249" s="67">
        <v>4</v>
      </c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8"/>
      <c r="AS249" s="66"/>
      <c r="AT249" s="66"/>
      <c r="AU249" s="66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55"/>
      <c r="BG249" s="70"/>
      <c r="BH249" s="63">
        <f t="shared" si="10"/>
        <v>4</v>
      </c>
      <c r="BI249" s="63">
        <v>4</v>
      </c>
      <c r="BJ249" s="70"/>
      <c r="BK249" s="62">
        <f t="shared" si="11"/>
        <v>0</v>
      </c>
      <c r="BL249" s="63"/>
      <c r="BM249" s="71"/>
      <c r="BN249" s="71"/>
      <c r="BO249" s="71"/>
    </row>
    <row r="250" spans="2:67" ht="18.95" customHeight="1">
      <c r="B250" s="51" t="s">
        <v>403</v>
      </c>
      <c r="C250" s="73" t="s">
        <v>74</v>
      </c>
      <c r="D250" s="53" t="s">
        <v>405</v>
      </c>
      <c r="E250" s="115" t="s">
        <v>406</v>
      </c>
      <c r="F250" s="66"/>
      <c r="G250" s="66"/>
      <c r="H250" s="66">
        <v>1</v>
      </c>
      <c r="I250" s="66"/>
      <c r="J250" s="66">
        <v>1</v>
      </c>
      <c r="K250" s="66">
        <v>1</v>
      </c>
      <c r="L250" s="66"/>
      <c r="M250" s="66"/>
      <c r="N250" s="67"/>
      <c r="O250" s="66"/>
      <c r="P250" s="66"/>
      <c r="Q250" s="66"/>
      <c r="R250" s="66"/>
      <c r="S250" s="66"/>
      <c r="T250" s="66">
        <v>1</v>
      </c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>
        <v>1</v>
      </c>
      <c r="AQ250" s="66"/>
      <c r="AR250" s="68"/>
      <c r="AS250" s="66"/>
      <c r="AT250" s="66"/>
      <c r="AU250" s="66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55"/>
      <c r="BG250" s="70"/>
      <c r="BH250" s="63">
        <f t="shared" si="10"/>
        <v>5</v>
      </c>
      <c r="BI250" s="63">
        <v>5</v>
      </c>
      <c r="BJ250" s="70"/>
      <c r="BK250" s="62">
        <f t="shared" si="11"/>
        <v>0</v>
      </c>
      <c r="BL250" s="63"/>
      <c r="BM250" s="71"/>
      <c r="BN250" s="71"/>
      <c r="BO250" s="71"/>
    </row>
    <row r="251" spans="2:67" ht="18.75" customHeight="1">
      <c r="B251" s="51" t="s">
        <v>405</v>
      </c>
      <c r="C251" s="73" t="s">
        <v>74</v>
      </c>
      <c r="D251" s="53" t="s">
        <v>407</v>
      </c>
      <c r="E251" s="115" t="s">
        <v>408</v>
      </c>
      <c r="F251" s="66"/>
      <c r="G251" s="66"/>
      <c r="H251" s="66"/>
      <c r="I251" s="66"/>
      <c r="J251" s="66"/>
      <c r="K251" s="66"/>
      <c r="L251" s="66"/>
      <c r="M251" s="66"/>
      <c r="N251" s="67">
        <v>1</v>
      </c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8"/>
      <c r="AS251" s="66"/>
      <c r="AT251" s="66"/>
      <c r="AU251" s="66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55"/>
      <c r="BG251" s="70"/>
      <c r="BH251" s="63">
        <f t="shared" si="10"/>
        <v>1</v>
      </c>
      <c r="BI251" s="63">
        <v>1</v>
      </c>
      <c r="BJ251" s="70"/>
      <c r="BK251" s="62">
        <f t="shared" si="11"/>
        <v>0</v>
      </c>
      <c r="BL251" s="63"/>
      <c r="BM251" s="71"/>
      <c r="BN251" s="71"/>
      <c r="BO251" s="71"/>
    </row>
    <row r="252" spans="2:67" ht="19.5" customHeight="1">
      <c r="B252" s="51" t="s">
        <v>407</v>
      </c>
      <c r="C252" s="73" t="s">
        <v>74</v>
      </c>
      <c r="D252" s="53" t="s">
        <v>409</v>
      </c>
      <c r="E252" s="114" t="s">
        <v>410</v>
      </c>
      <c r="F252" s="66"/>
      <c r="G252" s="66"/>
      <c r="H252" s="66"/>
      <c r="I252" s="66"/>
      <c r="J252" s="66"/>
      <c r="K252" s="66"/>
      <c r="L252" s="66"/>
      <c r="M252" s="66"/>
      <c r="N252" s="67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>
        <v>1</v>
      </c>
      <c r="AQ252" s="66"/>
      <c r="AR252" s="68"/>
      <c r="AS252" s="66"/>
      <c r="AT252" s="66"/>
      <c r="AU252" s="66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55"/>
      <c r="BG252" s="70"/>
      <c r="BH252" s="63">
        <f t="shared" si="10"/>
        <v>1</v>
      </c>
      <c r="BI252" s="63">
        <v>1</v>
      </c>
      <c r="BJ252" s="70"/>
      <c r="BK252" s="62">
        <f t="shared" si="11"/>
        <v>0</v>
      </c>
      <c r="BL252" s="63"/>
      <c r="BM252" s="71"/>
      <c r="BN252" s="71"/>
      <c r="BO252" s="71"/>
    </row>
    <row r="253" spans="2:67" ht="18.75" customHeight="1">
      <c r="B253" s="51" t="s">
        <v>409</v>
      </c>
      <c r="C253" s="73" t="s">
        <v>74</v>
      </c>
      <c r="D253" s="53" t="s">
        <v>411</v>
      </c>
      <c r="E253" s="114" t="s">
        <v>412</v>
      </c>
      <c r="F253" s="66"/>
      <c r="G253" s="66"/>
      <c r="H253" s="66"/>
      <c r="I253" s="66"/>
      <c r="J253" s="66"/>
      <c r="K253" s="66"/>
      <c r="L253" s="66"/>
      <c r="M253" s="66"/>
      <c r="N253" s="67">
        <v>4</v>
      </c>
      <c r="O253" s="66"/>
      <c r="P253" s="66">
        <v>1</v>
      </c>
      <c r="Q253" s="66"/>
      <c r="R253" s="66"/>
      <c r="S253" s="66"/>
      <c r="T253" s="66">
        <v>1</v>
      </c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8"/>
      <c r="AS253" s="66"/>
      <c r="AT253" s="66"/>
      <c r="AU253" s="66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55"/>
      <c r="BG253" s="70"/>
      <c r="BH253" s="63">
        <f t="shared" si="10"/>
        <v>6</v>
      </c>
      <c r="BI253" s="63">
        <v>4</v>
      </c>
      <c r="BJ253" s="70"/>
      <c r="BK253" s="62">
        <f t="shared" si="11"/>
        <v>2</v>
      </c>
      <c r="BL253" s="63"/>
      <c r="BM253" s="71"/>
      <c r="BN253" s="71"/>
      <c r="BO253" s="71"/>
    </row>
    <row r="254" spans="2:67" ht="30" customHeight="1">
      <c r="B254" s="51" t="s">
        <v>413</v>
      </c>
      <c r="C254" s="73" t="s">
        <v>74</v>
      </c>
      <c r="D254" s="53" t="s">
        <v>413</v>
      </c>
      <c r="E254" s="114" t="s">
        <v>414</v>
      </c>
      <c r="F254" s="66"/>
      <c r="G254" s="66"/>
      <c r="H254" s="66"/>
      <c r="I254" s="66"/>
      <c r="J254" s="66"/>
      <c r="K254" s="66">
        <v>21</v>
      </c>
      <c r="L254" s="66"/>
      <c r="M254" s="66"/>
      <c r="N254" s="67">
        <v>1</v>
      </c>
      <c r="O254" s="66"/>
      <c r="P254" s="66"/>
      <c r="Q254" s="66"/>
      <c r="R254" s="66"/>
      <c r="S254" s="66"/>
      <c r="T254" s="66"/>
      <c r="U254" s="66">
        <v>1</v>
      </c>
      <c r="V254" s="66"/>
      <c r="W254" s="66"/>
      <c r="X254" s="66"/>
      <c r="Y254" s="66"/>
      <c r="Z254" s="66"/>
      <c r="AA254" s="66">
        <v>1</v>
      </c>
      <c r="AB254" s="66">
        <v>1</v>
      </c>
      <c r="AC254" s="66"/>
      <c r="AD254" s="66"/>
      <c r="AE254" s="66">
        <v>1</v>
      </c>
      <c r="AF254" s="66"/>
      <c r="AG254" s="66"/>
      <c r="AH254" s="66"/>
      <c r="AI254" s="66"/>
      <c r="AJ254" s="66"/>
      <c r="AK254" s="66"/>
      <c r="AL254" s="66"/>
      <c r="AM254" s="66"/>
      <c r="AN254" s="66">
        <v>1</v>
      </c>
      <c r="AO254" s="66"/>
      <c r="AP254" s="66"/>
      <c r="AQ254" s="66"/>
      <c r="AR254" s="68"/>
      <c r="AS254" s="66"/>
      <c r="AT254" s="66">
        <v>1</v>
      </c>
      <c r="AU254" s="66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55"/>
      <c r="BG254" s="70">
        <v>3</v>
      </c>
      <c r="BH254" s="63">
        <f t="shared" si="10"/>
        <v>31</v>
      </c>
      <c r="BI254" s="63">
        <v>30</v>
      </c>
      <c r="BJ254" s="70"/>
      <c r="BK254" s="62">
        <f t="shared" si="11"/>
        <v>1</v>
      </c>
      <c r="BL254" s="63"/>
      <c r="BM254" s="71"/>
      <c r="BN254" s="71"/>
      <c r="BO254" s="71"/>
    </row>
    <row r="255" spans="2:67" ht="18.95" customHeight="1">
      <c r="B255" s="51" t="s">
        <v>415</v>
      </c>
      <c r="C255" s="73" t="s">
        <v>74</v>
      </c>
      <c r="D255" s="53" t="s">
        <v>415</v>
      </c>
      <c r="E255" s="114" t="s">
        <v>416</v>
      </c>
      <c r="F255" s="66"/>
      <c r="G255" s="66"/>
      <c r="H255" s="66"/>
      <c r="I255" s="66"/>
      <c r="J255" s="66"/>
      <c r="K255" s="66"/>
      <c r="L255" s="66"/>
      <c r="M255" s="66"/>
      <c r="N255" s="67">
        <v>6</v>
      </c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8"/>
      <c r="AS255" s="66"/>
      <c r="AT255" s="66"/>
      <c r="AU255" s="66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55"/>
      <c r="BG255" s="70"/>
      <c r="BH255" s="63">
        <f t="shared" si="10"/>
        <v>6</v>
      </c>
      <c r="BI255" s="63">
        <v>6</v>
      </c>
      <c r="BJ255" s="70"/>
      <c r="BK255" s="62">
        <f t="shared" si="11"/>
        <v>0</v>
      </c>
      <c r="BL255" s="63"/>
      <c r="BM255" s="71"/>
      <c r="BN255" s="71"/>
      <c r="BO255" s="71"/>
    </row>
    <row r="256" spans="2:67" ht="18.75" customHeight="1">
      <c r="B256" s="51" t="s">
        <v>417</v>
      </c>
      <c r="C256" s="73" t="s">
        <v>74</v>
      </c>
      <c r="D256" s="53" t="s">
        <v>417</v>
      </c>
      <c r="E256" s="114" t="s">
        <v>418</v>
      </c>
      <c r="F256" s="66"/>
      <c r="G256" s="66"/>
      <c r="H256" s="66"/>
      <c r="I256" s="66"/>
      <c r="J256" s="66"/>
      <c r="K256" s="66"/>
      <c r="L256" s="66"/>
      <c r="M256" s="66"/>
      <c r="N256" s="67">
        <v>1</v>
      </c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8"/>
      <c r="AS256" s="66"/>
      <c r="AT256" s="66"/>
      <c r="AU256" s="66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55"/>
      <c r="BG256" s="70"/>
      <c r="BH256" s="63">
        <f t="shared" si="10"/>
        <v>1</v>
      </c>
      <c r="BI256" s="63">
        <v>1</v>
      </c>
      <c r="BJ256" s="70"/>
      <c r="BK256" s="62">
        <f t="shared" si="11"/>
        <v>0</v>
      </c>
      <c r="BL256" s="63"/>
      <c r="BM256" s="71"/>
      <c r="BN256" s="71"/>
      <c r="BO256" s="71"/>
    </row>
    <row r="257" spans="2:67" ht="18.75" customHeight="1">
      <c r="B257" s="51" t="s">
        <v>419</v>
      </c>
      <c r="C257" s="73" t="s">
        <v>74</v>
      </c>
      <c r="D257" s="53" t="s">
        <v>419</v>
      </c>
      <c r="E257" s="115" t="s">
        <v>420</v>
      </c>
      <c r="F257" s="66"/>
      <c r="G257" s="66"/>
      <c r="H257" s="66"/>
      <c r="I257" s="66"/>
      <c r="J257" s="66"/>
      <c r="K257" s="66"/>
      <c r="L257" s="66"/>
      <c r="M257" s="66"/>
      <c r="N257" s="67">
        <v>6</v>
      </c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8"/>
      <c r="AS257" s="66"/>
      <c r="AT257" s="66"/>
      <c r="AU257" s="66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55"/>
      <c r="BG257" s="70"/>
      <c r="BH257" s="63">
        <f t="shared" si="10"/>
        <v>6</v>
      </c>
      <c r="BI257" s="63">
        <v>6</v>
      </c>
      <c r="BJ257" s="70"/>
      <c r="BK257" s="62">
        <f t="shared" si="11"/>
        <v>0</v>
      </c>
      <c r="BL257" s="63"/>
      <c r="BM257" s="71"/>
      <c r="BN257" s="71"/>
      <c r="BO257" s="71"/>
    </row>
    <row r="258" spans="2:67" ht="18.95" customHeight="1">
      <c r="B258" s="51" t="s">
        <v>421</v>
      </c>
      <c r="C258" s="52" t="s">
        <v>74</v>
      </c>
      <c r="D258" s="53" t="s">
        <v>421</v>
      </c>
      <c r="E258" s="115" t="s">
        <v>422</v>
      </c>
      <c r="F258" s="66"/>
      <c r="G258" s="66"/>
      <c r="H258" s="66"/>
      <c r="I258" s="66"/>
      <c r="J258" s="66"/>
      <c r="K258" s="66"/>
      <c r="L258" s="66"/>
      <c r="M258" s="66"/>
      <c r="N258" s="67"/>
      <c r="O258" s="66"/>
      <c r="P258" s="66"/>
      <c r="Q258" s="66"/>
      <c r="R258" s="66"/>
      <c r="S258" s="66"/>
      <c r="T258" s="66"/>
      <c r="U258" s="66"/>
      <c r="V258" s="66">
        <v>2</v>
      </c>
      <c r="W258" s="66"/>
      <c r="X258" s="66">
        <v>1</v>
      </c>
      <c r="Y258" s="66"/>
      <c r="Z258" s="66"/>
      <c r="AA258" s="66">
        <v>1</v>
      </c>
      <c r="AB258" s="66"/>
      <c r="AC258" s="66"/>
      <c r="AD258" s="66">
        <v>1</v>
      </c>
      <c r="AE258" s="66"/>
      <c r="AF258" s="66"/>
      <c r="AG258" s="66"/>
      <c r="AH258" s="66"/>
      <c r="AI258" s="66">
        <v>1</v>
      </c>
      <c r="AJ258" s="66"/>
      <c r="AK258" s="66"/>
      <c r="AL258" s="66"/>
      <c r="AM258" s="66"/>
      <c r="AN258" s="66"/>
      <c r="AO258" s="66"/>
      <c r="AP258" s="66"/>
      <c r="AQ258" s="66"/>
      <c r="AR258" s="68"/>
      <c r="AS258" s="66"/>
      <c r="AT258" s="66"/>
      <c r="AU258" s="66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55"/>
      <c r="BG258" s="70"/>
      <c r="BH258" s="63">
        <f t="shared" si="10"/>
        <v>6</v>
      </c>
      <c r="BI258" s="63">
        <v>7</v>
      </c>
      <c r="BJ258" s="70"/>
      <c r="BK258" s="62">
        <f t="shared" si="11"/>
        <v>-1</v>
      </c>
      <c r="BL258" s="63"/>
      <c r="BM258" s="71"/>
      <c r="BN258" s="71"/>
      <c r="BO258" s="71"/>
    </row>
    <row r="259" spans="2:67" ht="30" customHeight="1">
      <c r="B259" s="51" t="s">
        <v>423</v>
      </c>
      <c r="C259" s="73" t="s">
        <v>74</v>
      </c>
      <c r="D259" s="53" t="s">
        <v>423</v>
      </c>
      <c r="E259" s="114" t="s">
        <v>424</v>
      </c>
      <c r="F259" s="66">
        <v>1</v>
      </c>
      <c r="G259" s="66">
        <v>1</v>
      </c>
      <c r="H259" s="66">
        <v>1</v>
      </c>
      <c r="I259" s="66"/>
      <c r="J259" s="66">
        <v>1</v>
      </c>
      <c r="K259" s="66">
        <v>1</v>
      </c>
      <c r="L259" s="66">
        <v>1</v>
      </c>
      <c r="M259" s="66">
        <v>1</v>
      </c>
      <c r="N259" s="67">
        <v>1</v>
      </c>
      <c r="O259" s="66">
        <v>1</v>
      </c>
      <c r="P259" s="66"/>
      <c r="Q259" s="66"/>
      <c r="R259" s="66"/>
      <c r="S259" s="66">
        <v>2</v>
      </c>
      <c r="T259" s="66">
        <v>1</v>
      </c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>
        <v>1</v>
      </c>
      <c r="AR259" s="68"/>
      <c r="AS259" s="66"/>
      <c r="AT259" s="66"/>
      <c r="AU259" s="66">
        <v>1</v>
      </c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55"/>
      <c r="BG259" s="70"/>
      <c r="BH259" s="63">
        <f t="shared" si="10"/>
        <v>14</v>
      </c>
      <c r="BI259" s="63">
        <v>14</v>
      </c>
      <c r="BJ259" s="70"/>
      <c r="BK259" s="62">
        <f t="shared" si="11"/>
        <v>0</v>
      </c>
      <c r="BL259" s="63"/>
      <c r="BM259" s="71"/>
      <c r="BN259" s="71"/>
      <c r="BO259" s="71"/>
    </row>
    <row r="260" spans="2:67" ht="30" customHeight="1">
      <c r="B260" s="51" t="s">
        <v>425</v>
      </c>
      <c r="C260" s="73" t="s">
        <v>74</v>
      </c>
      <c r="D260" s="53" t="s">
        <v>425</v>
      </c>
      <c r="E260" s="114" t="s">
        <v>426</v>
      </c>
      <c r="F260" s="66"/>
      <c r="G260" s="66"/>
      <c r="H260" s="66"/>
      <c r="I260" s="66"/>
      <c r="J260" s="66"/>
      <c r="K260" s="66">
        <v>1</v>
      </c>
      <c r="L260" s="66"/>
      <c r="M260" s="66"/>
      <c r="N260" s="67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>
        <v>1</v>
      </c>
      <c r="AQ260" s="66"/>
      <c r="AR260" s="68"/>
      <c r="AS260" s="66"/>
      <c r="AT260" s="66"/>
      <c r="AU260" s="66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55"/>
      <c r="BG260" s="70"/>
      <c r="BH260" s="63">
        <f t="shared" si="10"/>
        <v>2</v>
      </c>
      <c r="BI260" s="63">
        <v>2</v>
      </c>
      <c r="BJ260" s="70"/>
      <c r="BK260" s="62">
        <f t="shared" si="11"/>
        <v>0</v>
      </c>
      <c r="BL260" s="63"/>
      <c r="BM260" s="71"/>
      <c r="BN260" s="71"/>
      <c r="BO260" s="71"/>
    </row>
    <row r="261" spans="2:67" ht="18.95" customHeight="1">
      <c r="B261" s="51" t="s">
        <v>427</v>
      </c>
      <c r="C261" s="73" t="s">
        <v>74</v>
      </c>
      <c r="D261" s="53" t="s">
        <v>427</v>
      </c>
      <c r="E261" s="115" t="s">
        <v>428</v>
      </c>
      <c r="F261" s="66"/>
      <c r="G261" s="66"/>
      <c r="H261" s="66"/>
      <c r="I261" s="66"/>
      <c r="J261" s="66"/>
      <c r="K261" s="66"/>
      <c r="L261" s="66"/>
      <c r="M261" s="66"/>
      <c r="N261" s="67"/>
      <c r="O261" s="66"/>
      <c r="P261" s="66">
        <v>10</v>
      </c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8"/>
      <c r="AS261" s="66"/>
      <c r="AT261" s="66"/>
      <c r="AU261" s="66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55"/>
      <c r="BG261" s="70"/>
      <c r="BH261" s="63">
        <f t="shared" si="10"/>
        <v>10</v>
      </c>
      <c r="BI261" s="63">
        <v>10</v>
      </c>
      <c r="BJ261" s="70"/>
      <c r="BK261" s="62">
        <f t="shared" si="11"/>
        <v>0</v>
      </c>
      <c r="BL261" s="63"/>
      <c r="BM261" s="71"/>
      <c r="BN261" s="71"/>
      <c r="BO261" s="71"/>
    </row>
    <row r="262" spans="2:67" ht="18.75" customHeight="1">
      <c r="B262" s="51" t="s">
        <v>429</v>
      </c>
      <c r="C262" s="73" t="s">
        <v>74</v>
      </c>
      <c r="D262" s="53" t="s">
        <v>429</v>
      </c>
      <c r="E262" s="114" t="s">
        <v>430</v>
      </c>
      <c r="F262" s="66"/>
      <c r="G262" s="66">
        <v>10</v>
      </c>
      <c r="H262" s="66">
        <v>10</v>
      </c>
      <c r="I262" s="66">
        <v>10</v>
      </c>
      <c r="J262" s="66">
        <v>10</v>
      </c>
      <c r="K262" s="66"/>
      <c r="L262" s="66"/>
      <c r="M262" s="66">
        <v>9</v>
      </c>
      <c r="N262" s="67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8"/>
      <c r="AS262" s="66"/>
      <c r="AT262" s="66"/>
      <c r="AU262" s="66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55"/>
      <c r="BG262" s="70"/>
      <c r="BH262" s="63">
        <f t="shared" si="10"/>
        <v>49</v>
      </c>
      <c r="BI262" s="63">
        <v>50</v>
      </c>
      <c r="BJ262" s="70"/>
      <c r="BK262" s="62">
        <f t="shared" si="11"/>
        <v>-1</v>
      </c>
      <c r="BL262" s="63"/>
      <c r="BM262" s="71"/>
      <c r="BN262" s="71"/>
      <c r="BO262" s="71"/>
    </row>
    <row r="263" spans="2:67" ht="18.75" customHeight="1">
      <c r="B263" s="51" t="s">
        <v>431</v>
      </c>
      <c r="C263" s="73" t="s">
        <v>74</v>
      </c>
      <c r="D263" s="53" t="s">
        <v>431</v>
      </c>
      <c r="E263" s="115" t="s">
        <v>432</v>
      </c>
      <c r="F263" s="66"/>
      <c r="G263" s="66">
        <v>1</v>
      </c>
      <c r="H263" s="66">
        <v>1</v>
      </c>
      <c r="I263" s="66">
        <v>1</v>
      </c>
      <c r="J263" s="66">
        <v>1</v>
      </c>
      <c r="K263" s="66"/>
      <c r="L263" s="66"/>
      <c r="M263" s="66">
        <v>1</v>
      </c>
      <c r="N263" s="67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8"/>
      <c r="AS263" s="66"/>
      <c r="AT263" s="66"/>
      <c r="AU263" s="66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55"/>
      <c r="BG263" s="70"/>
      <c r="BH263" s="63">
        <f t="shared" si="10"/>
        <v>5</v>
      </c>
      <c r="BI263" s="63">
        <v>5</v>
      </c>
      <c r="BJ263" s="70"/>
      <c r="BK263" s="62">
        <f t="shared" si="11"/>
        <v>0</v>
      </c>
      <c r="BL263" s="63"/>
      <c r="BM263" s="71"/>
      <c r="BN263" s="71"/>
      <c r="BO263" s="71"/>
    </row>
    <row r="264" spans="2:67" ht="30" customHeight="1">
      <c r="B264" s="51" t="s">
        <v>433</v>
      </c>
      <c r="C264" s="73" t="s">
        <v>74</v>
      </c>
      <c r="D264" s="53" t="s">
        <v>433</v>
      </c>
      <c r="E264" s="114" t="s">
        <v>434</v>
      </c>
      <c r="F264" s="66"/>
      <c r="G264" s="66"/>
      <c r="H264" s="66"/>
      <c r="I264" s="66"/>
      <c r="J264" s="66"/>
      <c r="K264" s="66"/>
      <c r="L264" s="66"/>
      <c r="M264" s="66"/>
      <c r="N264" s="67"/>
      <c r="O264" s="66"/>
      <c r="P264" s="66">
        <v>1</v>
      </c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8"/>
      <c r="AS264" s="66"/>
      <c r="AT264" s="66"/>
      <c r="AU264" s="66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55"/>
      <c r="BG264" s="70"/>
      <c r="BH264" s="63">
        <f t="shared" si="10"/>
        <v>1</v>
      </c>
      <c r="BI264" s="63">
        <v>1</v>
      </c>
      <c r="BJ264" s="70"/>
      <c r="BK264" s="62">
        <f t="shared" si="11"/>
        <v>0</v>
      </c>
      <c r="BL264" s="63"/>
      <c r="BM264" s="71"/>
      <c r="BN264" s="71"/>
      <c r="BO264" s="71"/>
    </row>
    <row r="265" spans="2:67" ht="18.95" customHeight="1">
      <c r="B265" s="51" t="s">
        <v>435</v>
      </c>
      <c r="C265" s="73" t="s">
        <v>74</v>
      </c>
      <c r="D265" s="53" t="s">
        <v>435</v>
      </c>
      <c r="E265" s="114" t="s">
        <v>436</v>
      </c>
      <c r="F265" s="66"/>
      <c r="G265" s="66"/>
      <c r="H265" s="66"/>
      <c r="I265" s="66"/>
      <c r="J265" s="66"/>
      <c r="K265" s="66"/>
      <c r="L265" s="66"/>
      <c r="M265" s="66"/>
      <c r="N265" s="67">
        <v>2</v>
      </c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8"/>
      <c r="AS265" s="66"/>
      <c r="AT265" s="66"/>
      <c r="AU265" s="66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55"/>
      <c r="BG265" s="70"/>
      <c r="BH265" s="63">
        <f t="shared" si="10"/>
        <v>2</v>
      </c>
      <c r="BI265" s="63">
        <v>2</v>
      </c>
      <c r="BJ265" s="70"/>
      <c r="BK265" s="62">
        <f t="shared" si="11"/>
        <v>0</v>
      </c>
      <c r="BL265" s="63"/>
      <c r="BM265" s="71"/>
      <c r="BN265" s="71"/>
      <c r="BO265" s="71"/>
    </row>
    <row r="266" spans="2:67" ht="18.95" customHeight="1">
      <c r="B266" s="51" t="s">
        <v>437</v>
      </c>
      <c r="C266" s="73" t="s">
        <v>74</v>
      </c>
      <c r="D266" s="53" t="s">
        <v>437</v>
      </c>
      <c r="E266" s="114" t="s">
        <v>438</v>
      </c>
      <c r="F266" s="66"/>
      <c r="G266" s="66"/>
      <c r="H266" s="66"/>
      <c r="I266" s="66"/>
      <c r="J266" s="66"/>
      <c r="K266" s="66"/>
      <c r="L266" s="66"/>
      <c r="M266" s="66"/>
      <c r="N266" s="67">
        <v>7</v>
      </c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75"/>
      <c r="AM266" s="66"/>
      <c r="AN266" s="66"/>
      <c r="AO266" s="66"/>
      <c r="AP266" s="66"/>
      <c r="AQ266" s="66"/>
      <c r="AR266" s="68"/>
      <c r="AS266" s="66"/>
      <c r="AT266" s="66"/>
      <c r="AU266" s="66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55"/>
      <c r="BG266" s="70"/>
      <c r="BH266" s="63">
        <f t="shared" si="10"/>
        <v>7</v>
      </c>
      <c r="BI266" s="63">
        <v>7</v>
      </c>
      <c r="BJ266" s="70"/>
      <c r="BK266" s="62">
        <f t="shared" si="11"/>
        <v>0</v>
      </c>
      <c r="BL266" s="63"/>
      <c r="BM266" s="71"/>
      <c r="BN266" s="71"/>
      <c r="BO266" s="71"/>
    </row>
    <row r="267" spans="2:67" ht="18.75" customHeight="1">
      <c r="B267" s="51" t="s">
        <v>439</v>
      </c>
      <c r="C267" s="73" t="s">
        <v>74</v>
      </c>
      <c r="D267" s="53" t="s">
        <v>439</v>
      </c>
      <c r="E267" s="115" t="s">
        <v>440</v>
      </c>
      <c r="F267" s="66"/>
      <c r="G267" s="66"/>
      <c r="H267" s="66"/>
      <c r="I267" s="66"/>
      <c r="J267" s="66"/>
      <c r="K267" s="66"/>
      <c r="L267" s="66"/>
      <c r="M267" s="66"/>
      <c r="N267" s="67">
        <v>6</v>
      </c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75"/>
      <c r="AM267" s="66"/>
      <c r="AN267" s="66"/>
      <c r="AO267" s="66"/>
      <c r="AP267" s="66"/>
      <c r="AQ267" s="66"/>
      <c r="AR267" s="68"/>
      <c r="AS267" s="66"/>
      <c r="AT267" s="66"/>
      <c r="AU267" s="66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55"/>
      <c r="BG267" s="70"/>
      <c r="BH267" s="63">
        <f t="shared" si="10"/>
        <v>6</v>
      </c>
      <c r="BI267" s="63">
        <v>6</v>
      </c>
      <c r="BJ267" s="70"/>
      <c r="BK267" s="62">
        <f t="shared" si="11"/>
        <v>0</v>
      </c>
      <c r="BL267" s="63"/>
      <c r="BM267" s="71"/>
      <c r="BN267" s="71"/>
      <c r="BO267" s="71"/>
    </row>
    <row r="268" spans="2:67" ht="18.95" customHeight="1">
      <c r="B268" s="51" t="s">
        <v>441</v>
      </c>
      <c r="C268" s="73" t="s">
        <v>74</v>
      </c>
      <c r="D268" s="53" t="s">
        <v>441</v>
      </c>
      <c r="E268" s="115" t="s">
        <v>442</v>
      </c>
      <c r="F268" s="66"/>
      <c r="G268" s="66"/>
      <c r="H268" s="66"/>
      <c r="I268" s="66"/>
      <c r="J268" s="66"/>
      <c r="K268" s="66"/>
      <c r="L268" s="66"/>
      <c r="M268" s="66"/>
      <c r="N268" s="67">
        <v>1</v>
      </c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8"/>
      <c r="AS268" s="66"/>
      <c r="AT268" s="66"/>
      <c r="AU268" s="66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55"/>
      <c r="BG268" s="70"/>
      <c r="BH268" s="63">
        <f t="shared" si="10"/>
        <v>1</v>
      </c>
      <c r="BI268" s="63">
        <v>1</v>
      </c>
      <c r="BJ268" s="70"/>
      <c r="BK268" s="62">
        <f t="shared" si="11"/>
        <v>0</v>
      </c>
      <c r="BL268" s="63"/>
      <c r="BM268" s="71"/>
      <c r="BN268" s="65"/>
      <c r="BO268" s="65"/>
    </row>
    <row r="269" spans="2:67" ht="18.95" customHeight="1">
      <c r="B269" s="51" t="s">
        <v>443</v>
      </c>
      <c r="C269" s="73" t="s">
        <v>74</v>
      </c>
      <c r="D269" s="53" t="s">
        <v>443</v>
      </c>
      <c r="E269" s="115" t="s">
        <v>444</v>
      </c>
      <c r="F269" s="55">
        <v>10</v>
      </c>
      <c r="G269" s="66"/>
      <c r="H269" s="66"/>
      <c r="I269" s="66"/>
      <c r="J269" s="66"/>
      <c r="K269" s="66"/>
      <c r="L269" s="66"/>
      <c r="M269" s="66"/>
      <c r="N269" s="67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75"/>
      <c r="AM269" s="66"/>
      <c r="AN269" s="66"/>
      <c r="AO269" s="66"/>
      <c r="AP269" s="66"/>
      <c r="AQ269" s="66"/>
      <c r="AR269" s="68"/>
      <c r="AS269" s="66"/>
      <c r="AT269" s="66"/>
      <c r="AU269" s="66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55"/>
      <c r="BG269" s="70"/>
      <c r="BH269" s="63">
        <f t="shared" si="10"/>
        <v>10</v>
      </c>
      <c r="BI269" s="63">
        <v>10</v>
      </c>
      <c r="BJ269" s="70"/>
      <c r="BK269" s="62">
        <f t="shared" si="11"/>
        <v>0</v>
      </c>
      <c r="BL269" s="63"/>
      <c r="BM269" s="71"/>
      <c r="BN269" s="65"/>
      <c r="BO269" s="65"/>
    </row>
    <row r="270" spans="2:67" ht="30" customHeight="1">
      <c r="B270" s="51" t="s">
        <v>445</v>
      </c>
      <c r="C270" s="73" t="s">
        <v>74</v>
      </c>
      <c r="D270" s="53" t="s">
        <v>445</v>
      </c>
      <c r="E270" s="114" t="s">
        <v>446</v>
      </c>
      <c r="F270" s="66"/>
      <c r="G270" s="55"/>
      <c r="H270" s="66"/>
      <c r="I270" s="66"/>
      <c r="J270" s="66"/>
      <c r="K270" s="66"/>
      <c r="L270" s="66"/>
      <c r="M270" s="66"/>
      <c r="N270" s="67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>
        <v>1</v>
      </c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8"/>
      <c r="AS270" s="66"/>
      <c r="AT270" s="66"/>
      <c r="AU270" s="66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55"/>
      <c r="BG270" s="70"/>
      <c r="BH270" s="63">
        <f t="shared" si="10"/>
        <v>1</v>
      </c>
      <c r="BI270" s="63">
        <v>1</v>
      </c>
      <c r="BJ270" s="70"/>
      <c r="BK270" s="62">
        <f t="shared" si="11"/>
        <v>0</v>
      </c>
      <c r="BL270" s="63"/>
      <c r="BM270" s="71"/>
      <c r="BN270" s="71"/>
      <c r="BO270" s="71"/>
    </row>
    <row r="271" spans="2:67" ht="18.75" customHeight="1">
      <c r="B271" s="51" t="s">
        <v>447</v>
      </c>
      <c r="C271" s="73" t="s">
        <v>74</v>
      </c>
      <c r="D271" s="132" t="s">
        <v>447</v>
      </c>
      <c r="E271" s="133" t="s">
        <v>448</v>
      </c>
      <c r="F271" s="55"/>
      <c r="G271" s="66"/>
      <c r="H271" s="55"/>
      <c r="I271" s="55"/>
      <c r="J271" s="55"/>
      <c r="K271" s="55"/>
      <c r="L271" s="55"/>
      <c r="M271" s="55"/>
      <c r="N271" s="56"/>
      <c r="O271" s="55"/>
      <c r="P271" s="134"/>
      <c r="Q271" s="134"/>
      <c r="R271" s="55"/>
      <c r="S271" s="134"/>
      <c r="T271" s="134"/>
      <c r="U271" s="134"/>
      <c r="V271" s="134"/>
      <c r="W271" s="134"/>
      <c r="X271" s="134"/>
      <c r="Y271" s="134"/>
      <c r="Z271" s="55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  <c r="AN271" s="134"/>
      <c r="AO271" s="134"/>
      <c r="AP271" s="134"/>
      <c r="AQ271" s="134"/>
      <c r="AR271" s="134"/>
      <c r="AS271" s="134"/>
      <c r="AT271" s="134"/>
      <c r="AU271" s="134"/>
      <c r="AV271" s="134"/>
      <c r="AW271" s="134"/>
      <c r="AX271" s="134"/>
      <c r="AY271" s="134"/>
      <c r="AZ271" s="134"/>
      <c r="BA271" s="134"/>
      <c r="BB271" s="134"/>
      <c r="BC271" s="134"/>
      <c r="BD271" s="55"/>
      <c r="BE271" s="134"/>
      <c r="BF271" s="134"/>
      <c r="BG271" s="70"/>
      <c r="BH271" s="126">
        <f t="shared" si="10"/>
        <v>0</v>
      </c>
      <c r="BI271" s="126">
        <v>0</v>
      </c>
      <c r="BJ271" s="70"/>
      <c r="BK271" s="62">
        <f t="shared" si="11"/>
        <v>0</v>
      </c>
      <c r="BL271" s="63" t="s">
        <v>449</v>
      </c>
      <c r="BM271" s="71"/>
      <c r="BN271" s="65"/>
      <c r="BO271" s="65"/>
    </row>
    <row r="272" spans="2:67">
      <c r="B272" s="87"/>
      <c r="C272" s="87"/>
      <c r="D272" s="87"/>
      <c r="E272" s="87"/>
    </row>
    <row r="273" spans="2:67">
      <c r="B273" s="87"/>
      <c r="C273" s="87"/>
      <c r="D273" s="87"/>
      <c r="E273" s="87"/>
    </row>
    <row r="274" spans="2:67">
      <c r="B274" s="87"/>
      <c r="C274" s="87"/>
      <c r="D274" s="87"/>
      <c r="E274" s="87"/>
    </row>
    <row r="275" spans="2:67">
      <c r="B275" s="87"/>
      <c r="C275" s="87"/>
      <c r="D275" s="87"/>
      <c r="E275" s="87"/>
    </row>
    <row r="276" spans="2:67">
      <c r="B276" s="87"/>
      <c r="C276" s="87"/>
      <c r="D276" s="87"/>
      <c r="E276" s="87"/>
    </row>
    <row r="277" spans="2:67">
      <c r="B277" s="87"/>
      <c r="C277" s="87"/>
      <c r="D277" s="87"/>
      <c r="E277" s="87"/>
    </row>
    <row r="278" spans="2:67">
      <c r="B278" s="87"/>
      <c r="C278" s="87"/>
      <c r="D278" s="87"/>
      <c r="E278" s="87"/>
    </row>
    <row r="279" spans="2:67">
      <c r="B279" s="87"/>
      <c r="C279" s="87"/>
      <c r="D279" s="87"/>
      <c r="E279" s="87"/>
    </row>
    <row r="280" spans="2:67">
      <c r="B280" s="87"/>
      <c r="C280" s="87"/>
      <c r="D280" s="87"/>
      <c r="E280" s="87"/>
    </row>
    <row r="281" spans="2:67">
      <c r="B281" s="87"/>
      <c r="C281" s="87"/>
      <c r="D281" s="87"/>
      <c r="E281" s="87"/>
    </row>
    <row r="282" spans="2:67">
      <c r="B282" s="87"/>
      <c r="C282" s="87"/>
      <c r="D282" s="87"/>
      <c r="E282" s="87"/>
    </row>
    <row r="283" spans="2:67">
      <c r="B283" s="87"/>
      <c r="C283" s="87"/>
      <c r="D283" s="87"/>
      <c r="E283" s="87"/>
    </row>
    <row r="284" spans="2:67">
      <c r="B284" s="2" t="s">
        <v>1</v>
      </c>
      <c r="C284" s="2"/>
      <c r="D284" s="2"/>
      <c r="E284" s="2"/>
      <c r="F284" s="3"/>
      <c r="G284" s="4"/>
      <c r="H284" s="4"/>
      <c r="I284" s="4"/>
      <c r="J284" s="4"/>
      <c r="K284" s="4"/>
      <c r="L284" s="4"/>
      <c r="M284" s="4"/>
      <c r="N284" s="107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5"/>
      <c r="AE284" s="5"/>
      <c r="AF284" s="5"/>
      <c r="AG284" s="5"/>
      <c r="AH284" s="5"/>
      <c r="AI284" s="5"/>
      <c r="AJ284" s="5"/>
      <c r="AK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7"/>
      <c r="BI284" s="7"/>
      <c r="BJ284" s="5"/>
      <c r="BK284" s="5"/>
      <c r="BM284" s="5"/>
      <c r="BN284" s="5"/>
      <c r="BO284" s="5"/>
    </row>
    <row r="285" spans="2:67" ht="20.25">
      <c r="B285" s="2"/>
      <c r="C285" s="2"/>
      <c r="D285" s="2"/>
      <c r="E285" s="2"/>
      <c r="F285" s="1" t="s">
        <v>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9" t="s">
        <v>450</v>
      </c>
      <c r="BG285" s="10"/>
      <c r="BH285" s="10"/>
      <c r="BI285" s="10"/>
      <c r="BJ285" s="10"/>
      <c r="BK285" s="10"/>
      <c r="BL285" s="10"/>
      <c r="BM285" s="10"/>
      <c r="BN285" s="10"/>
      <c r="BO285" s="11"/>
    </row>
    <row r="286" spans="2:67">
      <c r="B286" s="12"/>
      <c r="C286" s="12"/>
      <c r="D286" s="12"/>
      <c r="E286" s="12"/>
      <c r="F286" s="13"/>
      <c r="G286" s="14" t="s">
        <v>3</v>
      </c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6"/>
      <c r="AM286" s="15"/>
      <c r="AN286" s="15"/>
      <c r="AO286" s="15"/>
      <c r="AP286" s="15"/>
      <c r="AQ286" s="15"/>
      <c r="AR286" s="17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8"/>
      <c r="BM286" s="15"/>
      <c r="BN286" s="15"/>
      <c r="BO286" s="15"/>
    </row>
    <row r="287" spans="2:67" ht="15">
      <c r="B287" s="19" t="s">
        <v>4</v>
      </c>
      <c r="C287" s="20" t="s">
        <v>5</v>
      </c>
      <c r="D287" s="20"/>
      <c r="E287" s="21" t="s">
        <v>6</v>
      </c>
      <c r="F287" s="110" t="s">
        <v>135</v>
      </c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24" t="s">
        <v>8</v>
      </c>
      <c r="BG287" s="25"/>
      <c r="BH287" s="25"/>
      <c r="BI287" s="26"/>
      <c r="BJ287" s="31" t="s">
        <v>9</v>
      </c>
      <c r="BK287" s="32"/>
      <c r="BL287" s="29"/>
      <c r="BM287" s="30"/>
      <c r="BN287" s="31" t="s">
        <v>10</v>
      </c>
      <c r="BO287" s="32"/>
    </row>
    <row r="288" spans="2:67" ht="110.1" customHeight="1">
      <c r="B288" s="33"/>
      <c r="C288" s="34" t="s">
        <v>11</v>
      </c>
      <c r="D288" s="35" t="s">
        <v>4</v>
      </c>
      <c r="E288" s="35" t="s">
        <v>12</v>
      </c>
      <c r="F288" s="36" t="s">
        <v>13</v>
      </c>
      <c r="G288" s="135" t="s">
        <v>14</v>
      </c>
      <c r="H288" s="36" t="s">
        <v>15</v>
      </c>
      <c r="I288" s="36" t="s">
        <v>16</v>
      </c>
      <c r="J288" s="36" t="s">
        <v>17</v>
      </c>
      <c r="K288" s="36" t="s">
        <v>18</v>
      </c>
      <c r="L288" s="36" t="s">
        <v>19</v>
      </c>
      <c r="M288" s="36" t="s">
        <v>20</v>
      </c>
      <c r="N288" s="37" t="s">
        <v>21</v>
      </c>
      <c r="O288" s="36" t="s">
        <v>22</v>
      </c>
      <c r="P288" s="36" t="s">
        <v>23</v>
      </c>
      <c r="Q288" s="36" t="s">
        <v>24</v>
      </c>
      <c r="R288" s="36" t="s">
        <v>25</v>
      </c>
      <c r="S288" s="36" t="s">
        <v>26</v>
      </c>
      <c r="T288" s="36" t="s">
        <v>27</v>
      </c>
      <c r="U288" s="36" t="s">
        <v>28</v>
      </c>
      <c r="V288" s="36" t="s">
        <v>29</v>
      </c>
      <c r="W288" s="36" t="s">
        <v>30</v>
      </c>
      <c r="X288" s="38" t="s">
        <v>31</v>
      </c>
      <c r="Y288" s="36" t="s">
        <v>32</v>
      </c>
      <c r="Z288" s="36" t="s">
        <v>33</v>
      </c>
      <c r="AA288" s="36" t="s">
        <v>34</v>
      </c>
      <c r="AB288" s="38" t="s">
        <v>35</v>
      </c>
      <c r="AC288" s="36" t="s">
        <v>36</v>
      </c>
      <c r="AD288" s="39" t="s">
        <v>37</v>
      </c>
      <c r="AE288" s="36" t="s">
        <v>38</v>
      </c>
      <c r="AF288" s="40" t="s">
        <v>39</v>
      </c>
      <c r="AG288" s="40" t="s">
        <v>40</v>
      </c>
      <c r="AH288" s="40" t="s">
        <v>41</v>
      </c>
      <c r="AI288" s="40" t="s">
        <v>42</v>
      </c>
      <c r="AJ288" s="40" t="s">
        <v>43</v>
      </c>
      <c r="AK288" s="40" t="s">
        <v>44</v>
      </c>
      <c r="AL288" s="41" t="s">
        <v>45</v>
      </c>
      <c r="AM288" s="42" t="s">
        <v>46</v>
      </c>
      <c r="AN288" s="43" t="s">
        <v>47</v>
      </c>
      <c r="AO288" s="40" t="s">
        <v>48</v>
      </c>
      <c r="AP288" s="40" t="s">
        <v>49</v>
      </c>
      <c r="AQ288" s="40" t="s">
        <v>50</v>
      </c>
      <c r="AR288" s="44" t="s">
        <v>136</v>
      </c>
      <c r="AS288" s="36" t="s">
        <v>52</v>
      </c>
      <c r="AT288" s="36" t="s">
        <v>53</v>
      </c>
      <c r="AU288" s="36" t="s">
        <v>54</v>
      </c>
      <c r="AV288" s="36" t="s">
        <v>55</v>
      </c>
      <c r="AW288" s="36" t="s">
        <v>56</v>
      </c>
      <c r="AX288" s="36" t="s">
        <v>203</v>
      </c>
      <c r="AY288" s="36" t="s">
        <v>58</v>
      </c>
      <c r="AZ288" s="38" t="s">
        <v>59</v>
      </c>
      <c r="BA288" s="36" t="s">
        <v>60</v>
      </c>
      <c r="BB288" s="36" t="s">
        <v>61</v>
      </c>
      <c r="BC288" s="39" t="s">
        <v>62</v>
      </c>
      <c r="BD288" s="36" t="s">
        <v>63</v>
      </c>
      <c r="BE288" s="36" t="s">
        <v>64</v>
      </c>
      <c r="BF288" s="45" t="s">
        <v>65</v>
      </c>
      <c r="BG288" s="45" t="s">
        <v>66</v>
      </c>
      <c r="BH288" s="45" t="s">
        <v>67</v>
      </c>
      <c r="BI288" s="45" t="s">
        <v>68</v>
      </c>
      <c r="BJ288" s="46" t="s">
        <v>69</v>
      </c>
      <c r="BK288" s="46" t="s">
        <v>70</v>
      </c>
      <c r="BL288" s="47" t="s">
        <v>71</v>
      </c>
      <c r="BM288" s="48" t="s">
        <v>72</v>
      </c>
      <c r="BN288" s="49" t="s">
        <v>69</v>
      </c>
      <c r="BO288" s="50" t="s">
        <v>70</v>
      </c>
    </row>
    <row r="289" spans="2:67" ht="18.75" customHeight="1">
      <c r="B289" s="51" t="s">
        <v>451</v>
      </c>
      <c r="C289" s="52" t="s">
        <v>74</v>
      </c>
      <c r="D289" s="53" t="s">
        <v>451</v>
      </c>
      <c r="E289" s="115" t="s">
        <v>452</v>
      </c>
      <c r="F289" s="55"/>
      <c r="G289" s="66"/>
      <c r="H289" s="55"/>
      <c r="I289" s="55"/>
      <c r="J289" s="55"/>
      <c r="K289" s="55"/>
      <c r="L289" s="55"/>
      <c r="M289" s="55"/>
      <c r="N289" s="56"/>
      <c r="O289" s="55"/>
      <c r="P289" s="55"/>
      <c r="Q289" s="57"/>
      <c r="R289" s="55"/>
      <c r="S289" s="58"/>
      <c r="T289" s="58"/>
      <c r="U289" s="55"/>
      <c r="V289" s="55">
        <v>1</v>
      </c>
      <c r="W289" s="55"/>
      <c r="X289" s="55"/>
      <c r="Y289" s="55"/>
      <c r="Z289" s="55"/>
      <c r="AA289" s="55"/>
      <c r="AB289" s="55">
        <v>1</v>
      </c>
      <c r="AC289" s="55"/>
      <c r="AD289" s="55"/>
      <c r="AE289" s="57"/>
      <c r="AF289" s="57"/>
      <c r="AG289" s="57"/>
      <c r="AH289" s="57"/>
      <c r="AI289" s="57"/>
      <c r="AJ289" s="57"/>
      <c r="AK289" s="57"/>
      <c r="AL289" s="59"/>
      <c r="AM289" s="57"/>
      <c r="AN289" s="57"/>
      <c r="AO289" s="55"/>
      <c r="AP289" s="55"/>
      <c r="AQ289" s="55">
        <v>1</v>
      </c>
      <c r="AR289" s="60"/>
      <c r="AS289" s="57"/>
      <c r="AT289" s="57"/>
      <c r="AU289" s="57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55"/>
      <c r="BG289" s="62"/>
      <c r="BH289" s="63">
        <f t="shared" ref="BH289:BH303" si="12">SUM(F289:BG289)</f>
        <v>3</v>
      </c>
      <c r="BI289" s="64">
        <v>3</v>
      </c>
      <c r="BJ289" s="62"/>
      <c r="BK289" s="62">
        <f>BH289-BI289</f>
        <v>0</v>
      </c>
      <c r="BL289" s="64"/>
      <c r="BM289" s="65"/>
      <c r="BN289" s="65"/>
      <c r="BO289" s="65"/>
    </row>
    <row r="290" spans="2:67" ht="18.75" customHeight="1">
      <c r="B290" s="51" t="s">
        <v>453</v>
      </c>
      <c r="C290" s="52" t="s">
        <v>74</v>
      </c>
      <c r="D290" s="53" t="s">
        <v>453</v>
      </c>
      <c r="E290" s="115" t="s">
        <v>454</v>
      </c>
      <c r="F290" s="66"/>
      <c r="G290" s="66"/>
      <c r="H290" s="66"/>
      <c r="I290" s="66"/>
      <c r="J290" s="66"/>
      <c r="K290" s="66"/>
      <c r="L290" s="66"/>
      <c r="M290" s="66"/>
      <c r="N290" s="67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>
        <v>1</v>
      </c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8"/>
      <c r="AS290" s="66"/>
      <c r="AT290" s="66"/>
      <c r="AU290" s="66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55"/>
      <c r="BG290" s="70"/>
      <c r="BH290" s="63">
        <f t="shared" si="12"/>
        <v>1</v>
      </c>
      <c r="BI290" s="63">
        <v>1</v>
      </c>
      <c r="BJ290" s="70"/>
      <c r="BK290" s="62">
        <f t="shared" ref="BK290:BK318" si="13">BH290-BI290</f>
        <v>0</v>
      </c>
      <c r="BL290" s="63"/>
      <c r="BM290" s="71"/>
      <c r="BN290" s="71"/>
      <c r="BO290" s="72"/>
    </row>
    <row r="291" spans="2:67" ht="18.75" customHeight="1">
      <c r="B291" s="51" t="s">
        <v>455</v>
      </c>
      <c r="C291" s="73" t="s">
        <v>74</v>
      </c>
      <c r="D291" s="53" t="s">
        <v>455</v>
      </c>
      <c r="E291" s="114" t="s">
        <v>456</v>
      </c>
      <c r="F291" s="66"/>
      <c r="G291" s="66"/>
      <c r="H291" s="66"/>
      <c r="I291" s="66"/>
      <c r="J291" s="66"/>
      <c r="K291" s="66"/>
      <c r="L291" s="66"/>
      <c r="M291" s="66"/>
      <c r="N291" s="67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>
        <v>1</v>
      </c>
      <c r="AK291" s="66"/>
      <c r="AL291" s="66"/>
      <c r="AM291" s="66"/>
      <c r="AN291" s="66"/>
      <c r="AO291" s="66"/>
      <c r="AP291" s="66"/>
      <c r="AQ291" s="66"/>
      <c r="AR291" s="68"/>
      <c r="AS291" s="66"/>
      <c r="AT291" s="66"/>
      <c r="AU291" s="66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55"/>
      <c r="BG291" s="70"/>
      <c r="BH291" s="63">
        <f t="shared" si="12"/>
        <v>1</v>
      </c>
      <c r="BI291" s="63">
        <v>1</v>
      </c>
      <c r="BJ291" s="70"/>
      <c r="BK291" s="62">
        <f t="shared" si="13"/>
        <v>0</v>
      </c>
      <c r="BL291" s="63"/>
      <c r="BM291" s="71"/>
      <c r="BN291" s="72"/>
      <c r="BO291" s="71"/>
    </row>
    <row r="292" spans="2:67" ht="18.95" customHeight="1">
      <c r="B292" s="51" t="s">
        <v>457</v>
      </c>
      <c r="C292" s="73" t="s">
        <v>74</v>
      </c>
      <c r="D292" s="53" t="s">
        <v>457</v>
      </c>
      <c r="E292" s="114" t="s">
        <v>458</v>
      </c>
      <c r="F292" s="66"/>
      <c r="G292" s="66"/>
      <c r="H292" s="66"/>
      <c r="I292" s="66"/>
      <c r="J292" s="66"/>
      <c r="K292" s="66">
        <v>1</v>
      </c>
      <c r="L292" s="66"/>
      <c r="M292" s="66"/>
      <c r="N292" s="67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8"/>
      <c r="AS292" s="66"/>
      <c r="AT292" s="66"/>
      <c r="AU292" s="66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55"/>
      <c r="BG292" s="70"/>
      <c r="BH292" s="63">
        <f t="shared" si="12"/>
        <v>1</v>
      </c>
      <c r="BI292" s="63">
        <v>1</v>
      </c>
      <c r="BJ292" s="70"/>
      <c r="BK292" s="62">
        <f t="shared" si="13"/>
        <v>0</v>
      </c>
      <c r="BL292" s="63"/>
      <c r="BM292" s="71"/>
      <c r="BN292" s="71"/>
      <c r="BO292" s="71"/>
    </row>
    <row r="293" spans="2:67" ht="18.95" customHeight="1">
      <c r="B293" s="51" t="s">
        <v>459</v>
      </c>
      <c r="C293" s="73"/>
      <c r="D293" s="53" t="s">
        <v>459</v>
      </c>
      <c r="E293" s="114" t="s">
        <v>460</v>
      </c>
      <c r="F293" s="66"/>
      <c r="G293" s="66"/>
      <c r="H293" s="66"/>
      <c r="I293" s="66"/>
      <c r="J293" s="66"/>
      <c r="K293" s="66"/>
      <c r="L293" s="66"/>
      <c r="M293" s="66"/>
      <c r="N293" s="67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8"/>
      <c r="AS293" s="66"/>
      <c r="AT293" s="66"/>
      <c r="AU293" s="66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55"/>
      <c r="BG293" s="70"/>
      <c r="BH293" s="63">
        <f t="shared" si="12"/>
        <v>0</v>
      </c>
      <c r="BI293" s="63">
        <v>3</v>
      </c>
      <c r="BJ293" s="70"/>
      <c r="BK293" s="62">
        <f t="shared" si="13"/>
        <v>-3</v>
      </c>
      <c r="BL293" s="63"/>
      <c r="BM293" s="71"/>
      <c r="BN293" s="71"/>
      <c r="BO293" s="71"/>
    </row>
    <row r="294" spans="2:67" ht="18.75" customHeight="1">
      <c r="B294" s="51" t="s">
        <v>461</v>
      </c>
      <c r="C294" s="73" t="s">
        <v>74</v>
      </c>
      <c r="D294" s="53" t="s">
        <v>461</v>
      </c>
      <c r="E294" s="115" t="s">
        <v>462</v>
      </c>
      <c r="F294" s="66"/>
      <c r="G294" s="66"/>
      <c r="H294" s="66"/>
      <c r="I294" s="66"/>
      <c r="J294" s="66"/>
      <c r="K294" s="66"/>
      <c r="L294" s="66"/>
      <c r="M294" s="66"/>
      <c r="N294" s="67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>
        <v>1</v>
      </c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8"/>
      <c r="AS294" s="66"/>
      <c r="AT294" s="66">
        <v>1</v>
      </c>
      <c r="AU294" s="66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55"/>
      <c r="BG294" s="70"/>
      <c r="BH294" s="63">
        <f t="shared" si="12"/>
        <v>2</v>
      </c>
      <c r="BI294" s="63">
        <v>2</v>
      </c>
      <c r="BJ294" s="70"/>
      <c r="BK294" s="62">
        <f t="shared" si="13"/>
        <v>0</v>
      </c>
      <c r="BL294" s="63"/>
      <c r="BM294" s="71"/>
      <c r="BN294" s="71"/>
      <c r="BO294" s="71"/>
    </row>
    <row r="295" spans="2:67" ht="18.75" customHeight="1">
      <c r="B295" s="51" t="s">
        <v>463</v>
      </c>
      <c r="C295" s="73" t="s">
        <v>74</v>
      </c>
      <c r="D295" s="53" t="s">
        <v>463</v>
      </c>
      <c r="E295" s="115" t="s">
        <v>464</v>
      </c>
      <c r="F295" s="66"/>
      <c r="G295" s="66"/>
      <c r="H295" s="66"/>
      <c r="I295" s="66"/>
      <c r="J295" s="66"/>
      <c r="K295" s="66"/>
      <c r="L295" s="66"/>
      <c r="M295" s="66"/>
      <c r="N295" s="67">
        <v>25</v>
      </c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8"/>
      <c r="AS295" s="66"/>
      <c r="AT295" s="66"/>
      <c r="AU295" s="66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55"/>
      <c r="BG295" s="70"/>
      <c r="BH295" s="63">
        <f t="shared" si="12"/>
        <v>25</v>
      </c>
      <c r="BI295" s="63">
        <v>25</v>
      </c>
      <c r="BJ295" s="70"/>
      <c r="BK295" s="62">
        <f t="shared" si="13"/>
        <v>0</v>
      </c>
      <c r="BL295" s="63"/>
      <c r="BM295" s="71"/>
      <c r="BN295" s="71"/>
      <c r="BO295" s="71"/>
    </row>
    <row r="296" spans="2:67" ht="18.95" customHeight="1">
      <c r="B296" s="51" t="s">
        <v>465</v>
      </c>
      <c r="C296" s="73" t="s">
        <v>74</v>
      </c>
      <c r="D296" s="53" t="s">
        <v>465</v>
      </c>
      <c r="E296" s="115" t="s">
        <v>466</v>
      </c>
      <c r="F296" s="66"/>
      <c r="G296" s="66"/>
      <c r="H296" s="66"/>
      <c r="I296" s="66"/>
      <c r="J296" s="66"/>
      <c r="K296" s="66"/>
      <c r="L296" s="66"/>
      <c r="M296" s="66"/>
      <c r="N296" s="67">
        <v>1</v>
      </c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8"/>
      <c r="AS296" s="66"/>
      <c r="AT296" s="66"/>
      <c r="AU296" s="66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55"/>
      <c r="BG296" s="70"/>
      <c r="BH296" s="63">
        <f t="shared" si="12"/>
        <v>1</v>
      </c>
      <c r="BI296" s="63">
        <v>1</v>
      </c>
      <c r="BJ296" s="70"/>
      <c r="BK296" s="62">
        <f t="shared" si="13"/>
        <v>0</v>
      </c>
      <c r="BL296" s="63"/>
      <c r="BM296" s="71"/>
      <c r="BN296" s="71"/>
      <c r="BO296" s="71"/>
    </row>
    <row r="297" spans="2:67" ht="39.950000000000003" customHeight="1">
      <c r="B297" s="51" t="s">
        <v>467</v>
      </c>
      <c r="C297" s="73" t="s">
        <v>74</v>
      </c>
      <c r="D297" s="53" t="s">
        <v>467</v>
      </c>
      <c r="E297" s="114" t="s">
        <v>468</v>
      </c>
      <c r="F297" s="66"/>
      <c r="G297" s="66"/>
      <c r="H297" s="66"/>
      <c r="I297" s="66"/>
      <c r="J297" s="66"/>
      <c r="K297" s="66">
        <v>1</v>
      </c>
      <c r="L297" s="66"/>
      <c r="M297" s="66"/>
      <c r="N297" s="67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8"/>
      <c r="AS297" s="66"/>
      <c r="AT297" s="66"/>
      <c r="AU297" s="66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55"/>
      <c r="BG297" s="70"/>
      <c r="BH297" s="63">
        <f t="shared" si="12"/>
        <v>1</v>
      </c>
      <c r="BI297" s="63">
        <v>1</v>
      </c>
      <c r="BJ297" s="70"/>
      <c r="BK297" s="62">
        <f t="shared" si="13"/>
        <v>0</v>
      </c>
      <c r="BL297" s="63"/>
      <c r="BM297" s="71"/>
      <c r="BN297" s="71"/>
      <c r="BO297" s="71"/>
    </row>
    <row r="298" spans="2:67" ht="39.950000000000003" customHeight="1">
      <c r="B298" s="51" t="s">
        <v>469</v>
      </c>
      <c r="C298" s="73" t="s">
        <v>74</v>
      </c>
      <c r="D298" s="53" t="s">
        <v>469</v>
      </c>
      <c r="E298" s="114" t="s">
        <v>470</v>
      </c>
      <c r="F298" s="66"/>
      <c r="G298" s="66"/>
      <c r="H298" s="66"/>
      <c r="I298" s="66">
        <v>1</v>
      </c>
      <c r="J298" s="66"/>
      <c r="K298" s="66"/>
      <c r="L298" s="66"/>
      <c r="M298" s="66"/>
      <c r="N298" s="67"/>
      <c r="O298" s="66"/>
      <c r="P298" s="66"/>
      <c r="Q298" s="66">
        <v>10</v>
      </c>
      <c r="R298" s="66"/>
      <c r="S298" s="66">
        <v>16</v>
      </c>
      <c r="T298" s="66">
        <v>1</v>
      </c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8"/>
      <c r="AS298" s="66"/>
      <c r="AT298" s="66"/>
      <c r="AU298" s="66">
        <v>1</v>
      </c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55"/>
      <c r="BG298" s="70"/>
      <c r="BH298" s="63">
        <f t="shared" si="12"/>
        <v>29</v>
      </c>
      <c r="BI298" s="63">
        <v>28</v>
      </c>
      <c r="BJ298" s="70"/>
      <c r="BK298" s="62">
        <f t="shared" si="13"/>
        <v>1</v>
      </c>
      <c r="BL298" s="63"/>
      <c r="BM298" s="71"/>
      <c r="BN298" s="71"/>
      <c r="BO298" s="71"/>
    </row>
    <row r="299" spans="2:67" ht="18.95" customHeight="1">
      <c r="B299" s="51" t="s">
        <v>471</v>
      </c>
      <c r="C299" s="73" t="s">
        <v>74</v>
      </c>
      <c r="D299" s="53" t="s">
        <v>471</v>
      </c>
      <c r="E299" s="114" t="s">
        <v>472</v>
      </c>
      <c r="F299" s="66"/>
      <c r="G299" s="66"/>
      <c r="H299" s="66"/>
      <c r="I299" s="66"/>
      <c r="J299" s="66"/>
      <c r="K299" s="66"/>
      <c r="L299" s="66"/>
      <c r="M299" s="66"/>
      <c r="N299" s="67">
        <v>2</v>
      </c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8"/>
      <c r="AS299" s="66"/>
      <c r="AT299" s="66"/>
      <c r="AU299" s="66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55"/>
      <c r="BG299" s="70"/>
      <c r="BH299" s="63">
        <f t="shared" si="12"/>
        <v>2</v>
      </c>
      <c r="BI299" s="63">
        <v>2</v>
      </c>
      <c r="BJ299" s="70"/>
      <c r="BK299" s="62">
        <f t="shared" si="13"/>
        <v>0</v>
      </c>
      <c r="BL299" s="63"/>
      <c r="BM299" s="71"/>
      <c r="BN299" s="71"/>
      <c r="BO299" s="71"/>
    </row>
    <row r="300" spans="2:67" ht="19.5" customHeight="1">
      <c r="B300" s="51" t="s">
        <v>473</v>
      </c>
      <c r="C300" s="73" t="s">
        <v>74</v>
      </c>
      <c r="D300" s="53" t="s">
        <v>473</v>
      </c>
      <c r="E300" s="114" t="s">
        <v>474</v>
      </c>
      <c r="F300" s="66"/>
      <c r="G300" s="66"/>
      <c r="H300" s="66"/>
      <c r="I300" s="66"/>
      <c r="J300" s="66"/>
      <c r="K300" s="66"/>
      <c r="L300" s="66"/>
      <c r="M300" s="66"/>
      <c r="N300" s="67">
        <v>1</v>
      </c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8"/>
      <c r="AS300" s="66"/>
      <c r="AT300" s="66"/>
      <c r="AU300" s="66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55"/>
      <c r="BG300" s="70"/>
      <c r="BH300" s="63">
        <f t="shared" si="12"/>
        <v>1</v>
      </c>
      <c r="BI300" s="63">
        <v>1</v>
      </c>
      <c r="BJ300" s="70"/>
      <c r="BK300" s="62">
        <f t="shared" si="13"/>
        <v>0</v>
      </c>
      <c r="BL300" s="63"/>
      <c r="BM300" s="71"/>
      <c r="BN300" s="71"/>
      <c r="BO300" s="71"/>
    </row>
    <row r="301" spans="2:67" ht="18.75" customHeight="1">
      <c r="B301" s="51" t="s">
        <v>475</v>
      </c>
      <c r="C301" s="73" t="s">
        <v>74</v>
      </c>
      <c r="D301" s="53" t="s">
        <v>475</v>
      </c>
      <c r="E301" s="115" t="s">
        <v>476</v>
      </c>
      <c r="F301" s="66"/>
      <c r="G301" s="66"/>
      <c r="H301" s="66"/>
      <c r="I301" s="66"/>
      <c r="J301" s="66"/>
      <c r="K301" s="66"/>
      <c r="L301" s="66"/>
      <c r="M301" s="66"/>
      <c r="N301" s="67"/>
      <c r="O301" s="66"/>
      <c r="P301" s="66"/>
      <c r="Q301" s="66"/>
      <c r="R301" s="66"/>
      <c r="S301" s="66"/>
      <c r="T301" s="66"/>
      <c r="U301" s="66">
        <v>1</v>
      </c>
      <c r="V301" s="66"/>
      <c r="W301" s="66"/>
      <c r="X301" s="66"/>
      <c r="Y301" s="66"/>
      <c r="Z301" s="66"/>
      <c r="AA301" s="66"/>
      <c r="AB301" s="66">
        <v>1</v>
      </c>
      <c r="AC301" s="66"/>
      <c r="AD301" s="66">
        <v>1</v>
      </c>
      <c r="AE301" s="66"/>
      <c r="AF301" s="66"/>
      <c r="AG301" s="66"/>
      <c r="AH301" s="66"/>
      <c r="AI301" s="66">
        <v>1</v>
      </c>
      <c r="AJ301" s="66"/>
      <c r="AK301" s="66"/>
      <c r="AL301" s="66"/>
      <c r="AM301" s="66"/>
      <c r="AN301" s="66">
        <v>1</v>
      </c>
      <c r="AO301" s="66"/>
      <c r="AP301" s="66"/>
      <c r="AQ301" s="66">
        <v>1</v>
      </c>
      <c r="AR301" s="68"/>
      <c r="AS301" s="66"/>
      <c r="AT301" s="66"/>
      <c r="AU301" s="66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55"/>
      <c r="BG301" s="70"/>
      <c r="BH301" s="63">
        <f t="shared" si="12"/>
        <v>6</v>
      </c>
      <c r="BI301" s="63">
        <v>6</v>
      </c>
      <c r="BJ301" s="70"/>
      <c r="BK301" s="62">
        <f t="shared" si="13"/>
        <v>0</v>
      </c>
      <c r="BL301" s="63"/>
      <c r="BM301" s="71"/>
      <c r="BN301" s="71"/>
      <c r="BO301" s="71"/>
    </row>
    <row r="302" spans="2:67" ht="18.95" customHeight="1">
      <c r="B302" s="51" t="s">
        <v>477</v>
      </c>
      <c r="C302" s="73" t="s">
        <v>74</v>
      </c>
      <c r="D302" s="53" t="s">
        <v>477</v>
      </c>
      <c r="E302" s="115" t="s">
        <v>478</v>
      </c>
      <c r="F302" s="66">
        <v>1</v>
      </c>
      <c r="G302" s="66">
        <v>1</v>
      </c>
      <c r="H302" s="66">
        <v>1</v>
      </c>
      <c r="I302" s="66">
        <v>1</v>
      </c>
      <c r="J302" s="66">
        <v>1</v>
      </c>
      <c r="K302" s="66">
        <v>1</v>
      </c>
      <c r="L302" s="66">
        <v>1</v>
      </c>
      <c r="M302" s="66">
        <v>1</v>
      </c>
      <c r="N302" s="67">
        <v>1</v>
      </c>
      <c r="O302" s="66">
        <v>1</v>
      </c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8"/>
      <c r="AS302" s="66"/>
      <c r="AT302" s="66"/>
      <c r="AU302" s="66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55"/>
      <c r="BG302" s="70"/>
      <c r="BH302" s="63">
        <f t="shared" si="12"/>
        <v>10</v>
      </c>
      <c r="BI302" s="63">
        <v>10</v>
      </c>
      <c r="BJ302" s="70"/>
      <c r="BK302" s="62">
        <f t="shared" si="13"/>
        <v>0</v>
      </c>
      <c r="BL302" s="63"/>
      <c r="BM302" s="71"/>
      <c r="BN302" s="71"/>
      <c r="BO302" s="71"/>
    </row>
    <row r="303" spans="2:67" ht="18.95" customHeight="1">
      <c r="B303" s="51" t="s">
        <v>479</v>
      </c>
      <c r="C303" s="73" t="s">
        <v>74</v>
      </c>
      <c r="D303" s="53" t="s">
        <v>479</v>
      </c>
      <c r="E303" s="115" t="s">
        <v>480</v>
      </c>
      <c r="F303" s="66"/>
      <c r="G303" s="66"/>
      <c r="H303" s="66"/>
      <c r="I303" s="66"/>
      <c r="J303" s="66"/>
      <c r="K303" s="66"/>
      <c r="L303" s="66"/>
      <c r="M303" s="66"/>
      <c r="N303" s="67">
        <v>1</v>
      </c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8"/>
      <c r="AS303" s="66"/>
      <c r="AT303" s="66"/>
      <c r="AU303" s="66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55"/>
      <c r="BG303" s="70"/>
      <c r="BH303" s="63">
        <f t="shared" si="12"/>
        <v>1</v>
      </c>
      <c r="BI303" s="63">
        <v>1</v>
      </c>
      <c r="BJ303" s="70"/>
      <c r="BK303" s="62">
        <f t="shared" si="13"/>
        <v>0</v>
      </c>
      <c r="BL303" s="63"/>
      <c r="BM303" s="71"/>
      <c r="BN303" s="71"/>
      <c r="BO303" s="71"/>
    </row>
    <row r="304" spans="2:67" ht="18.95" customHeight="1">
      <c r="B304" s="51" t="s">
        <v>481</v>
      </c>
      <c r="C304" s="73" t="s">
        <v>74</v>
      </c>
      <c r="D304" s="53" t="s">
        <v>481</v>
      </c>
      <c r="E304" s="115" t="s">
        <v>482</v>
      </c>
      <c r="F304" s="66"/>
      <c r="G304" s="66"/>
      <c r="H304" s="66"/>
      <c r="I304" s="66"/>
      <c r="J304" s="66"/>
      <c r="K304" s="66"/>
      <c r="L304" s="66"/>
      <c r="M304" s="66"/>
      <c r="N304" s="67">
        <v>10</v>
      </c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8"/>
      <c r="AS304" s="66"/>
      <c r="AT304" s="66"/>
      <c r="AU304" s="66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55"/>
      <c r="BG304" s="70"/>
      <c r="BH304" s="63">
        <v>10</v>
      </c>
      <c r="BI304" s="63">
        <v>10</v>
      </c>
      <c r="BJ304" s="70"/>
      <c r="BK304" s="62">
        <f t="shared" si="13"/>
        <v>0</v>
      </c>
      <c r="BL304" s="63"/>
      <c r="BM304" s="71"/>
      <c r="BN304" s="71"/>
      <c r="BO304" s="71"/>
    </row>
    <row r="305" spans="2:67" ht="18.75" customHeight="1">
      <c r="B305" s="51" t="s">
        <v>483</v>
      </c>
      <c r="C305" s="73" t="s">
        <v>74</v>
      </c>
      <c r="D305" s="53" t="s">
        <v>483</v>
      </c>
      <c r="E305" s="115" t="s">
        <v>484</v>
      </c>
      <c r="F305" s="66"/>
      <c r="G305" s="66"/>
      <c r="H305" s="66"/>
      <c r="I305" s="66"/>
      <c r="J305" s="66"/>
      <c r="K305" s="66"/>
      <c r="L305" s="66"/>
      <c r="M305" s="66"/>
      <c r="N305" s="67">
        <v>1</v>
      </c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8"/>
      <c r="AS305" s="66"/>
      <c r="AT305" s="66"/>
      <c r="AU305" s="66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55"/>
      <c r="BG305" s="70"/>
      <c r="BH305" s="63">
        <f t="shared" ref="BH305:BH318" si="14">SUM(F305:BG305)</f>
        <v>1</v>
      </c>
      <c r="BI305" s="63">
        <v>1</v>
      </c>
      <c r="BJ305" s="70"/>
      <c r="BK305" s="62">
        <f t="shared" si="13"/>
        <v>0</v>
      </c>
      <c r="BL305" s="63"/>
      <c r="BM305" s="71"/>
      <c r="BN305" s="71"/>
      <c r="BO305" s="71"/>
    </row>
    <row r="306" spans="2:67" ht="18.75" customHeight="1">
      <c r="B306" s="51" t="s">
        <v>485</v>
      </c>
      <c r="C306" s="52" t="s">
        <v>74</v>
      </c>
      <c r="D306" s="53" t="s">
        <v>485</v>
      </c>
      <c r="E306" s="115" t="s">
        <v>486</v>
      </c>
      <c r="F306" s="66"/>
      <c r="G306" s="66"/>
      <c r="H306" s="66">
        <v>1</v>
      </c>
      <c r="I306" s="66">
        <v>2</v>
      </c>
      <c r="J306" s="66"/>
      <c r="K306" s="66">
        <v>1</v>
      </c>
      <c r="L306" s="66">
        <v>1</v>
      </c>
      <c r="M306" s="66">
        <v>1</v>
      </c>
      <c r="N306" s="67"/>
      <c r="O306" s="66">
        <v>2</v>
      </c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>
        <v>1</v>
      </c>
      <c r="AJ306" s="66"/>
      <c r="AK306" s="66"/>
      <c r="AL306" s="66"/>
      <c r="AM306" s="66"/>
      <c r="AN306" s="66"/>
      <c r="AO306" s="66"/>
      <c r="AP306" s="66"/>
      <c r="AQ306" s="66"/>
      <c r="AR306" s="68"/>
      <c r="AS306" s="66"/>
      <c r="AT306" s="66"/>
      <c r="AU306" s="66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55"/>
      <c r="BG306" s="70"/>
      <c r="BH306" s="63">
        <f t="shared" si="14"/>
        <v>9</v>
      </c>
      <c r="BI306" s="63">
        <v>4</v>
      </c>
      <c r="BJ306" s="70"/>
      <c r="BK306" s="62">
        <f t="shared" si="13"/>
        <v>5</v>
      </c>
      <c r="BL306" s="63"/>
      <c r="BM306" s="71"/>
      <c r="BN306" s="71"/>
      <c r="BO306" s="71"/>
    </row>
    <row r="307" spans="2:67" ht="18.75" customHeight="1">
      <c r="B307" s="51" t="s">
        <v>487</v>
      </c>
      <c r="C307" s="73" t="s">
        <v>74</v>
      </c>
      <c r="D307" s="53" t="s">
        <v>487</v>
      </c>
      <c r="E307" s="115" t="s">
        <v>488</v>
      </c>
      <c r="F307" s="66"/>
      <c r="G307" s="66"/>
      <c r="H307" s="66"/>
      <c r="I307" s="66"/>
      <c r="J307" s="66"/>
      <c r="K307" s="66"/>
      <c r="L307" s="66"/>
      <c r="M307" s="66"/>
      <c r="N307" s="67">
        <v>6</v>
      </c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8"/>
      <c r="AS307" s="66"/>
      <c r="AT307" s="66"/>
      <c r="AU307" s="66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55"/>
      <c r="BG307" s="70"/>
      <c r="BH307" s="63">
        <f t="shared" si="14"/>
        <v>6</v>
      </c>
      <c r="BI307" s="63">
        <v>6</v>
      </c>
      <c r="BJ307" s="70"/>
      <c r="BK307" s="62">
        <f t="shared" si="13"/>
        <v>0</v>
      </c>
      <c r="BL307" s="63"/>
      <c r="BM307" s="71"/>
      <c r="BN307" s="71"/>
      <c r="BO307" s="71"/>
    </row>
    <row r="308" spans="2:67" ht="18.95" customHeight="1">
      <c r="B308" s="51" t="s">
        <v>489</v>
      </c>
      <c r="C308" s="73" t="s">
        <v>74</v>
      </c>
      <c r="D308" s="53" t="s">
        <v>489</v>
      </c>
      <c r="E308" s="115" t="s">
        <v>490</v>
      </c>
      <c r="F308" s="66"/>
      <c r="G308" s="66"/>
      <c r="H308" s="66"/>
      <c r="I308" s="66"/>
      <c r="J308" s="66"/>
      <c r="K308" s="66"/>
      <c r="L308" s="66"/>
      <c r="M308" s="66"/>
      <c r="N308" s="67"/>
      <c r="O308" s="66"/>
      <c r="P308" s="66"/>
      <c r="Q308" s="66"/>
      <c r="R308" s="66"/>
      <c r="S308" s="66"/>
      <c r="T308" s="66">
        <v>1</v>
      </c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8"/>
      <c r="AS308" s="66"/>
      <c r="AT308" s="66"/>
      <c r="AU308" s="66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55"/>
      <c r="BG308" s="70"/>
      <c r="BH308" s="63">
        <f t="shared" si="14"/>
        <v>1</v>
      </c>
      <c r="BI308" s="63">
        <v>1</v>
      </c>
      <c r="BJ308" s="70"/>
      <c r="BK308" s="62">
        <f t="shared" si="13"/>
        <v>0</v>
      </c>
      <c r="BL308" s="63"/>
      <c r="BM308" s="71"/>
      <c r="BN308" s="71"/>
      <c r="BO308" s="71"/>
    </row>
    <row r="309" spans="2:67" ht="18.75" customHeight="1">
      <c r="B309" s="51" t="s">
        <v>491</v>
      </c>
      <c r="C309" s="73" t="s">
        <v>74</v>
      </c>
      <c r="D309" s="53" t="s">
        <v>491</v>
      </c>
      <c r="E309" s="115" t="s">
        <v>492</v>
      </c>
      <c r="F309" s="66"/>
      <c r="G309" s="66"/>
      <c r="H309" s="66"/>
      <c r="I309" s="66"/>
      <c r="J309" s="66"/>
      <c r="K309" s="66"/>
      <c r="L309" s="66"/>
      <c r="M309" s="66"/>
      <c r="N309" s="67">
        <v>3</v>
      </c>
      <c r="O309" s="66"/>
      <c r="P309" s="66"/>
      <c r="Q309" s="66"/>
      <c r="R309" s="66">
        <v>6</v>
      </c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>
        <v>6</v>
      </c>
      <c r="AM309" s="66"/>
      <c r="AN309" s="66"/>
      <c r="AO309" s="66"/>
      <c r="AP309" s="66"/>
      <c r="AQ309" s="66"/>
      <c r="AR309" s="68"/>
      <c r="AS309" s="66"/>
      <c r="AT309" s="66"/>
      <c r="AU309" s="66"/>
      <c r="AV309" s="69"/>
      <c r="AW309" s="69"/>
      <c r="AX309" s="69"/>
      <c r="AY309" s="69"/>
      <c r="AZ309" s="69"/>
      <c r="BA309" s="69">
        <v>4</v>
      </c>
      <c r="BB309" s="69"/>
      <c r="BC309" s="69"/>
      <c r="BD309" s="69">
        <v>3</v>
      </c>
      <c r="BE309" s="69"/>
      <c r="BF309" s="55"/>
      <c r="BG309" s="70"/>
      <c r="BH309" s="63">
        <f t="shared" si="14"/>
        <v>22</v>
      </c>
      <c r="BI309" s="63">
        <v>30</v>
      </c>
      <c r="BJ309" s="70"/>
      <c r="BK309" s="62">
        <f t="shared" si="13"/>
        <v>-8</v>
      </c>
      <c r="BL309" s="63" t="s">
        <v>493</v>
      </c>
      <c r="BM309" s="71"/>
      <c r="BN309" s="71"/>
      <c r="BO309" s="71"/>
    </row>
    <row r="310" spans="2:67" ht="18.75" customHeight="1">
      <c r="B310" s="51" t="s">
        <v>494</v>
      </c>
      <c r="C310" s="73" t="s">
        <v>74</v>
      </c>
      <c r="D310" s="53" t="s">
        <v>494</v>
      </c>
      <c r="E310" s="115" t="s">
        <v>495</v>
      </c>
      <c r="F310" s="66">
        <v>1</v>
      </c>
      <c r="G310" s="66">
        <v>1</v>
      </c>
      <c r="H310" s="66">
        <v>1</v>
      </c>
      <c r="I310" s="66">
        <v>1</v>
      </c>
      <c r="J310" s="66">
        <v>1</v>
      </c>
      <c r="K310" s="66">
        <v>1</v>
      </c>
      <c r="L310" s="66">
        <v>1</v>
      </c>
      <c r="M310" s="66"/>
      <c r="N310" s="67"/>
      <c r="O310" s="66"/>
      <c r="P310" s="66"/>
      <c r="Q310" s="66"/>
      <c r="R310" s="66"/>
      <c r="S310" s="66">
        <v>7</v>
      </c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8"/>
      <c r="AS310" s="66"/>
      <c r="AT310" s="66"/>
      <c r="AU310" s="66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55">
        <v>13</v>
      </c>
      <c r="BG310" s="70"/>
      <c r="BH310" s="63">
        <f t="shared" si="14"/>
        <v>27</v>
      </c>
      <c r="BI310" s="63">
        <v>20</v>
      </c>
      <c r="BJ310" s="70"/>
      <c r="BK310" s="62">
        <f t="shared" si="13"/>
        <v>7</v>
      </c>
      <c r="BL310" s="63"/>
      <c r="BM310" s="71"/>
      <c r="BN310" s="71"/>
      <c r="BO310" s="71"/>
    </row>
    <row r="311" spans="2:67" ht="18.95" customHeight="1">
      <c r="B311" s="51" t="s">
        <v>496</v>
      </c>
      <c r="C311" s="73" t="s">
        <v>74</v>
      </c>
      <c r="D311" s="53" t="s">
        <v>496</v>
      </c>
      <c r="E311" s="115" t="s">
        <v>497</v>
      </c>
      <c r="F311" s="66"/>
      <c r="G311" s="66"/>
      <c r="H311" s="66"/>
      <c r="I311" s="66"/>
      <c r="J311" s="66"/>
      <c r="K311" s="66"/>
      <c r="L311" s="66"/>
      <c r="M311" s="66"/>
      <c r="N311" s="67">
        <v>1</v>
      </c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8"/>
      <c r="AS311" s="66"/>
      <c r="AT311" s="66"/>
      <c r="AU311" s="66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55"/>
      <c r="BG311" s="70"/>
      <c r="BH311" s="63">
        <f t="shared" si="14"/>
        <v>1</v>
      </c>
      <c r="BI311" s="63">
        <v>1</v>
      </c>
      <c r="BJ311" s="70"/>
      <c r="BK311" s="62">
        <f t="shared" si="13"/>
        <v>0</v>
      </c>
      <c r="BL311" s="63"/>
      <c r="BM311" s="71"/>
      <c r="BN311" s="71"/>
      <c r="BO311" s="71"/>
    </row>
    <row r="312" spans="2:67" ht="18.75" customHeight="1">
      <c r="B312" s="51" t="s">
        <v>498</v>
      </c>
      <c r="C312" s="73" t="s">
        <v>74</v>
      </c>
      <c r="D312" s="53" t="s">
        <v>498</v>
      </c>
      <c r="E312" s="115" t="s">
        <v>499</v>
      </c>
      <c r="F312" s="66"/>
      <c r="G312" s="66"/>
      <c r="H312" s="66"/>
      <c r="I312" s="66"/>
      <c r="J312" s="66"/>
      <c r="K312" s="66"/>
      <c r="L312" s="66"/>
      <c r="M312" s="66"/>
      <c r="N312" s="67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>
        <v>1</v>
      </c>
      <c r="AC312" s="66"/>
      <c r="AD312" s="66"/>
      <c r="AE312" s="66"/>
      <c r="AF312" s="66"/>
      <c r="AG312" s="66"/>
      <c r="AH312" s="66"/>
      <c r="AI312" s="66">
        <v>1</v>
      </c>
      <c r="AJ312" s="66"/>
      <c r="AK312" s="66"/>
      <c r="AL312" s="66"/>
      <c r="AM312" s="66"/>
      <c r="AN312" s="66"/>
      <c r="AO312" s="66"/>
      <c r="AP312" s="66"/>
      <c r="AQ312" s="66"/>
      <c r="AR312" s="68"/>
      <c r="AS312" s="66"/>
      <c r="AT312" s="66"/>
      <c r="AU312" s="66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55"/>
      <c r="BG312" s="70"/>
      <c r="BH312" s="63">
        <f t="shared" si="14"/>
        <v>2</v>
      </c>
      <c r="BI312" s="63">
        <v>2</v>
      </c>
      <c r="BJ312" s="70"/>
      <c r="BK312" s="62">
        <f t="shared" si="13"/>
        <v>0</v>
      </c>
      <c r="BL312" s="63"/>
      <c r="BM312" s="71"/>
      <c r="BN312" s="71"/>
      <c r="BO312" s="71"/>
    </row>
    <row r="313" spans="2:67" ht="18.95" customHeight="1">
      <c r="B313" s="51" t="s">
        <v>500</v>
      </c>
      <c r="C313" s="73" t="s">
        <v>74</v>
      </c>
      <c r="D313" s="53" t="s">
        <v>500</v>
      </c>
      <c r="E313" s="115" t="s">
        <v>501</v>
      </c>
      <c r="F313" s="66"/>
      <c r="G313" s="66"/>
      <c r="H313" s="66"/>
      <c r="I313" s="66"/>
      <c r="J313" s="66"/>
      <c r="K313" s="66"/>
      <c r="L313" s="66"/>
      <c r="M313" s="66"/>
      <c r="N313" s="67">
        <v>1</v>
      </c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75"/>
      <c r="AM313" s="66"/>
      <c r="AN313" s="66"/>
      <c r="AO313" s="66"/>
      <c r="AP313" s="66"/>
      <c r="AQ313" s="66"/>
      <c r="AR313" s="68"/>
      <c r="AS313" s="66"/>
      <c r="AT313" s="66"/>
      <c r="AU313" s="66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55"/>
      <c r="BG313" s="70"/>
      <c r="BH313" s="63">
        <f t="shared" si="14"/>
        <v>1</v>
      </c>
      <c r="BI313" s="63">
        <v>1</v>
      </c>
      <c r="BJ313" s="70"/>
      <c r="BK313" s="62">
        <f t="shared" si="13"/>
        <v>0</v>
      </c>
      <c r="BL313" s="63"/>
      <c r="BM313" s="71"/>
      <c r="BN313" s="71"/>
      <c r="BO313" s="71"/>
    </row>
    <row r="314" spans="2:67" ht="18.75" customHeight="1">
      <c r="B314" s="51" t="s">
        <v>502</v>
      </c>
      <c r="C314" s="73" t="s">
        <v>74</v>
      </c>
      <c r="D314" s="53" t="s">
        <v>502</v>
      </c>
      <c r="E314" s="115" t="s">
        <v>503</v>
      </c>
      <c r="F314" s="66"/>
      <c r="G314" s="66"/>
      <c r="H314" s="66"/>
      <c r="I314" s="66"/>
      <c r="J314" s="66"/>
      <c r="K314" s="66"/>
      <c r="L314" s="66"/>
      <c r="M314" s="66"/>
      <c r="N314" s="67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75"/>
      <c r="AM314" s="66"/>
      <c r="AN314" s="66"/>
      <c r="AO314" s="66"/>
      <c r="AP314" s="66">
        <v>1</v>
      </c>
      <c r="AQ314" s="66"/>
      <c r="AR314" s="68"/>
      <c r="AS314" s="66"/>
      <c r="AT314" s="66"/>
      <c r="AU314" s="66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55"/>
      <c r="BG314" s="70"/>
      <c r="BH314" s="63">
        <f t="shared" si="14"/>
        <v>1</v>
      </c>
      <c r="BI314" s="63">
        <v>1</v>
      </c>
      <c r="BJ314" s="70"/>
      <c r="BK314" s="62">
        <f t="shared" si="13"/>
        <v>0</v>
      </c>
      <c r="BL314" s="63"/>
      <c r="BM314" s="71"/>
      <c r="BN314" s="71"/>
      <c r="BO314" s="71"/>
    </row>
    <row r="315" spans="2:67" ht="18.75" customHeight="1">
      <c r="B315" s="51" t="s">
        <v>504</v>
      </c>
      <c r="C315" s="73" t="s">
        <v>74</v>
      </c>
      <c r="D315" s="53" t="s">
        <v>504</v>
      </c>
      <c r="E315" s="115" t="s">
        <v>505</v>
      </c>
      <c r="F315" s="66"/>
      <c r="G315" s="66"/>
      <c r="H315" s="66"/>
      <c r="I315" s="66"/>
      <c r="J315" s="66"/>
      <c r="K315" s="66">
        <v>1</v>
      </c>
      <c r="L315" s="66"/>
      <c r="M315" s="66"/>
      <c r="N315" s="67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8"/>
      <c r="AS315" s="66"/>
      <c r="AT315" s="66"/>
      <c r="AU315" s="66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55"/>
      <c r="BG315" s="70"/>
      <c r="BH315" s="63">
        <f t="shared" si="14"/>
        <v>1</v>
      </c>
      <c r="BI315" s="63">
        <v>1</v>
      </c>
      <c r="BJ315" s="70"/>
      <c r="BK315" s="62">
        <f t="shared" si="13"/>
        <v>0</v>
      </c>
      <c r="BL315" s="63"/>
      <c r="BM315" s="71"/>
      <c r="BN315" s="65"/>
      <c r="BO315" s="65"/>
    </row>
    <row r="316" spans="2:67" ht="18.95" customHeight="1">
      <c r="B316" s="51" t="s">
        <v>506</v>
      </c>
      <c r="C316" s="73" t="s">
        <v>74</v>
      </c>
      <c r="D316" s="53" t="s">
        <v>506</v>
      </c>
      <c r="E316" s="115" t="s">
        <v>507</v>
      </c>
      <c r="F316" s="55"/>
      <c r="G316" s="66"/>
      <c r="H316" s="66"/>
      <c r="I316" s="66"/>
      <c r="J316" s="66"/>
      <c r="K316" s="66">
        <v>1</v>
      </c>
      <c r="L316" s="66"/>
      <c r="M316" s="66"/>
      <c r="N316" s="67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75"/>
      <c r="AM316" s="66"/>
      <c r="AN316" s="66"/>
      <c r="AO316" s="66"/>
      <c r="AP316" s="66"/>
      <c r="AQ316" s="66"/>
      <c r="AR316" s="68"/>
      <c r="AS316" s="66"/>
      <c r="AT316" s="66"/>
      <c r="AU316" s="66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55"/>
      <c r="BG316" s="70"/>
      <c r="BH316" s="63">
        <f t="shared" si="14"/>
        <v>1</v>
      </c>
      <c r="BI316" s="63">
        <v>1</v>
      </c>
      <c r="BJ316" s="70"/>
      <c r="BK316" s="62">
        <f t="shared" si="13"/>
        <v>0</v>
      </c>
      <c r="BL316" s="63"/>
      <c r="BM316" s="71"/>
      <c r="BN316" s="65"/>
      <c r="BO316" s="65"/>
    </row>
    <row r="317" spans="2:67" ht="18.95" customHeight="1">
      <c r="B317" s="51" t="s">
        <v>508</v>
      </c>
      <c r="C317" s="73" t="s">
        <v>74</v>
      </c>
      <c r="D317" s="53" t="s">
        <v>508</v>
      </c>
      <c r="E317" s="115" t="s">
        <v>507</v>
      </c>
      <c r="F317" s="66"/>
      <c r="G317" s="66"/>
      <c r="H317" s="66"/>
      <c r="I317" s="66"/>
      <c r="J317" s="66"/>
      <c r="K317" s="66">
        <v>1</v>
      </c>
      <c r="L317" s="66"/>
      <c r="M317" s="66"/>
      <c r="N317" s="67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8"/>
      <c r="AS317" s="66"/>
      <c r="AT317" s="66"/>
      <c r="AU317" s="66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55"/>
      <c r="BG317" s="70"/>
      <c r="BH317" s="63">
        <f t="shared" si="14"/>
        <v>1</v>
      </c>
      <c r="BI317" s="63">
        <v>1</v>
      </c>
      <c r="BJ317" s="70"/>
      <c r="BK317" s="62">
        <f t="shared" si="13"/>
        <v>0</v>
      </c>
      <c r="BL317" s="63"/>
      <c r="BM317" s="71"/>
      <c r="BN317" s="71"/>
      <c r="BO317" s="71"/>
    </row>
    <row r="318" spans="2:67" ht="18.75" customHeight="1">
      <c r="B318" s="51" t="s">
        <v>509</v>
      </c>
      <c r="C318" s="73" t="s">
        <v>74</v>
      </c>
      <c r="D318" s="53" t="s">
        <v>509</v>
      </c>
      <c r="E318" s="115" t="s">
        <v>510</v>
      </c>
      <c r="F318" s="55"/>
      <c r="G318" s="55"/>
      <c r="H318" s="55"/>
      <c r="I318" s="55"/>
      <c r="J318" s="55"/>
      <c r="K318" s="55">
        <v>1</v>
      </c>
      <c r="L318" s="55"/>
      <c r="M318" s="55"/>
      <c r="N318" s="56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76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70"/>
      <c r="BH318" s="63">
        <f t="shared" si="14"/>
        <v>1</v>
      </c>
      <c r="BI318" s="63">
        <v>1</v>
      </c>
      <c r="BJ318" s="70"/>
      <c r="BK318" s="62">
        <f t="shared" si="13"/>
        <v>0</v>
      </c>
      <c r="BL318" s="63"/>
      <c r="BM318" s="71"/>
      <c r="BN318" s="65"/>
      <c r="BO318" s="65"/>
    </row>
    <row r="319" spans="2:67">
      <c r="B319" s="87"/>
      <c r="C319" s="87"/>
      <c r="D319" s="87"/>
      <c r="E319" s="87"/>
    </row>
    <row r="320" spans="2:67">
      <c r="B320" s="87"/>
      <c r="C320" s="87"/>
      <c r="D320" s="87"/>
      <c r="E320" s="87"/>
    </row>
    <row r="321" spans="2:67">
      <c r="B321" s="87"/>
      <c r="C321" s="87"/>
      <c r="D321" s="87"/>
      <c r="E321" s="87"/>
    </row>
    <row r="322" spans="2:67">
      <c r="B322" s="87"/>
      <c r="C322" s="87"/>
      <c r="D322" s="87"/>
      <c r="E322" s="87"/>
    </row>
    <row r="323" spans="2:67">
      <c r="B323" s="87"/>
      <c r="C323" s="87"/>
      <c r="D323" s="87"/>
      <c r="E323" s="87"/>
    </row>
    <row r="324" spans="2:67">
      <c r="B324" s="87"/>
      <c r="C324" s="87"/>
      <c r="D324" s="87"/>
      <c r="E324" s="87"/>
    </row>
    <row r="325" spans="2:67">
      <c r="B325" s="87"/>
      <c r="C325" s="87"/>
      <c r="D325" s="87"/>
      <c r="E325" s="87"/>
    </row>
    <row r="326" spans="2:67">
      <c r="B326" s="87"/>
      <c r="C326" s="87"/>
      <c r="D326" s="87"/>
      <c r="E326" s="87"/>
    </row>
    <row r="327" spans="2:67">
      <c r="B327" s="87"/>
      <c r="C327" s="87"/>
      <c r="D327" s="87"/>
      <c r="E327" s="87"/>
    </row>
    <row r="328" spans="2:67">
      <c r="B328" s="87"/>
      <c r="C328" s="87"/>
      <c r="D328" s="87"/>
      <c r="E328" s="87"/>
    </row>
    <row r="329" spans="2:67">
      <c r="B329" s="87"/>
      <c r="C329" s="87"/>
      <c r="D329" s="87"/>
      <c r="E329" s="87"/>
    </row>
    <row r="330" spans="2:67">
      <c r="B330" s="87"/>
      <c r="C330" s="87"/>
      <c r="D330" s="87"/>
      <c r="E330" s="87"/>
    </row>
    <row r="331" spans="2:67">
      <c r="B331" s="2" t="s">
        <v>1</v>
      </c>
      <c r="C331" s="2"/>
      <c r="D331" s="2"/>
      <c r="E331" s="2"/>
      <c r="F331" s="3"/>
      <c r="G331" s="4"/>
      <c r="H331" s="4"/>
      <c r="I331" s="4"/>
      <c r="J331" s="4"/>
      <c r="K331" s="4"/>
      <c r="L331" s="4"/>
      <c r="M331" s="4"/>
      <c r="N331" s="107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5"/>
      <c r="AF331" s="5"/>
      <c r="AG331" s="5"/>
      <c r="AH331" s="5"/>
      <c r="AI331" s="5"/>
      <c r="AJ331" s="5"/>
      <c r="AK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7"/>
      <c r="BI331" s="7"/>
      <c r="BJ331" s="5"/>
      <c r="BK331" s="5"/>
      <c r="BM331" s="5"/>
      <c r="BN331" s="5"/>
      <c r="BO331" s="5"/>
    </row>
    <row r="332" spans="2:67" ht="20.25">
      <c r="B332" s="2"/>
      <c r="C332" s="2"/>
      <c r="D332" s="2"/>
      <c r="E332" s="2"/>
      <c r="F332" s="1" t="s">
        <v>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9" t="s">
        <v>511</v>
      </c>
      <c r="BG332" s="10"/>
      <c r="BH332" s="10"/>
      <c r="BI332" s="10"/>
      <c r="BJ332" s="10"/>
      <c r="BK332" s="10"/>
      <c r="BL332" s="10"/>
      <c r="BM332" s="10"/>
      <c r="BN332" s="10"/>
      <c r="BO332" s="11"/>
    </row>
    <row r="333" spans="2:67">
      <c r="B333" s="12"/>
      <c r="C333" s="12"/>
      <c r="D333" s="12"/>
      <c r="E333" s="12"/>
      <c r="F333" s="13"/>
      <c r="G333" s="14" t="s">
        <v>3</v>
      </c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"/>
      <c r="AM333" s="15"/>
      <c r="AN333" s="15"/>
      <c r="AO333" s="15"/>
      <c r="AP333" s="15"/>
      <c r="AQ333" s="15"/>
      <c r="AR333" s="17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8"/>
      <c r="BM333" s="15"/>
      <c r="BN333" s="15"/>
      <c r="BO333" s="15"/>
    </row>
    <row r="334" spans="2:67" ht="15">
      <c r="B334" s="19" t="s">
        <v>4</v>
      </c>
      <c r="C334" s="20" t="s">
        <v>5</v>
      </c>
      <c r="D334" s="20"/>
      <c r="E334" s="21" t="s">
        <v>6</v>
      </c>
      <c r="F334" s="110" t="s">
        <v>135</v>
      </c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24" t="s">
        <v>8</v>
      </c>
      <c r="BG334" s="25"/>
      <c r="BH334" s="25"/>
      <c r="BI334" s="26"/>
      <c r="BJ334" s="31" t="s">
        <v>9</v>
      </c>
      <c r="BK334" s="32"/>
      <c r="BL334" s="29"/>
      <c r="BM334" s="30"/>
      <c r="BN334" s="31" t="s">
        <v>10</v>
      </c>
      <c r="BO334" s="32"/>
    </row>
    <row r="335" spans="2:67" ht="110.1" customHeight="1">
      <c r="B335" s="33"/>
      <c r="C335" s="34" t="s">
        <v>11</v>
      </c>
      <c r="D335" s="35" t="s">
        <v>4</v>
      </c>
      <c r="E335" s="35" t="s">
        <v>12</v>
      </c>
      <c r="F335" s="36" t="s">
        <v>13</v>
      </c>
      <c r="G335" s="36" t="s">
        <v>14</v>
      </c>
      <c r="H335" s="36" t="s">
        <v>15</v>
      </c>
      <c r="I335" s="36" t="s">
        <v>16</v>
      </c>
      <c r="J335" s="36" t="s">
        <v>17</v>
      </c>
      <c r="K335" s="36" t="s">
        <v>18</v>
      </c>
      <c r="L335" s="36" t="s">
        <v>19</v>
      </c>
      <c r="M335" s="36" t="s">
        <v>20</v>
      </c>
      <c r="N335" s="37" t="s">
        <v>21</v>
      </c>
      <c r="O335" s="36" t="s">
        <v>22</v>
      </c>
      <c r="P335" s="36" t="s">
        <v>23</v>
      </c>
      <c r="Q335" s="36" t="s">
        <v>24</v>
      </c>
      <c r="R335" s="36" t="s">
        <v>25</v>
      </c>
      <c r="S335" s="36" t="s">
        <v>26</v>
      </c>
      <c r="T335" s="36" t="s">
        <v>27</v>
      </c>
      <c r="U335" s="36" t="s">
        <v>28</v>
      </c>
      <c r="V335" s="36" t="s">
        <v>29</v>
      </c>
      <c r="W335" s="36" t="s">
        <v>30</v>
      </c>
      <c r="X335" s="38" t="s">
        <v>31</v>
      </c>
      <c r="Y335" s="36" t="s">
        <v>32</v>
      </c>
      <c r="Z335" s="36" t="s">
        <v>33</v>
      </c>
      <c r="AA335" s="36" t="s">
        <v>34</v>
      </c>
      <c r="AB335" s="38" t="s">
        <v>35</v>
      </c>
      <c r="AC335" s="36" t="s">
        <v>36</v>
      </c>
      <c r="AD335" s="39" t="s">
        <v>37</v>
      </c>
      <c r="AE335" s="36" t="s">
        <v>38</v>
      </c>
      <c r="AF335" s="40" t="s">
        <v>39</v>
      </c>
      <c r="AG335" s="40" t="s">
        <v>40</v>
      </c>
      <c r="AH335" s="40" t="s">
        <v>41</v>
      </c>
      <c r="AI335" s="40" t="s">
        <v>42</v>
      </c>
      <c r="AJ335" s="40" t="s">
        <v>43</v>
      </c>
      <c r="AK335" s="40" t="s">
        <v>44</v>
      </c>
      <c r="AL335" s="41" t="s">
        <v>45</v>
      </c>
      <c r="AM335" s="42" t="s">
        <v>46</v>
      </c>
      <c r="AN335" s="43" t="s">
        <v>47</v>
      </c>
      <c r="AO335" s="40" t="s">
        <v>48</v>
      </c>
      <c r="AP335" s="40" t="s">
        <v>49</v>
      </c>
      <c r="AQ335" s="40" t="s">
        <v>50</v>
      </c>
      <c r="AR335" s="44" t="s">
        <v>136</v>
      </c>
      <c r="AS335" s="36" t="s">
        <v>52</v>
      </c>
      <c r="AT335" s="36" t="s">
        <v>53</v>
      </c>
      <c r="AU335" s="36" t="s">
        <v>54</v>
      </c>
      <c r="AV335" s="36" t="s">
        <v>55</v>
      </c>
      <c r="AW335" s="36" t="s">
        <v>56</v>
      </c>
      <c r="AX335" s="36" t="s">
        <v>203</v>
      </c>
      <c r="AY335" s="36" t="s">
        <v>58</v>
      </c>
      <c r="AZ335" s="38" t="s">
        <v>59</v>
      </c>
      <c r="BA335" s="36" t="s">
        <v>60</v>
      </c>
      <c r="BB335" s="36" t="s">
        <v>61</v>
      </c>
      <c r="BC335" s="39" t="s">
        <v>62</v>
      </c>
      <c r="BD335" s="36" t="s">
        <v>63</v>
      </c>
      <c r="BE335" s="36" t="s">
        <v>64</v>
      </c>
      <c r="BF335" s="45" t="s">
        <v>65</v>
      </c>
      <c r="BG335" s="45" t="s">
        <v>66</v>
      </c>
      <c r="BH335" s="45" t="s">
        <v>67</v>
      </c>
      <c r="BI335" s="45" t="s">
        <v>68</v>
      </c>
      <c r="BJ335" s="46" t="s">
        <v>69</v>
      </c>
      <c r="BK335" s="46" t="s">
        <v>70</v>
      </c>
      <c r="BL335" s="47" t="s">
        <v>71</v>
      </c>
      <c r="BM335" s="48" t="s">
        <v>72</v>
      </c>
      <c r="BN335" s="49" t="s">
        <v>69</v>
      </c>
      <c r="BO335" s="50" t="s">
        <v>70</v>
      </c>
    </row>
    <row r="336" spans="2:67" ht="18.95" customHeight="1">
      <c r="B336" s="51" t="s">
        <v>512</v>
      </c>
      <c r="C336" s="52" t="s">
        <v>74</v>
      </c>
      <c r="D336" s="136">
        <v>212</v>
      </c>
      <c r="E336" s="115" t="s">
        <v>513</v>
      </c>
      <c r="F336" s="55"/>
      <c r="G336" s="55"/>
      <c r="H336" s="55"/>
      <c r="I336" s="55"/>
      <c r="J336" s="55"/>
      <c r="K336" s="55">
        <v>1</v>
      </c>
      <c r="L336" s="55"/>
      <c r="M336" s="55"/>
      <c r="N336" s="56"/>
      <c r="O336" s="55"/>
      <c r="P336" s="55"/>
      <c r="Q336" s="57"/>
      <c r="R336" s="55"/>
      <c r="S336" s="58"/>
      <c r="T336" s="58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7"/>
      <c r="AF336" s="57"/>
      <c r="AG336" s="57"/>
      <c r="AH336" s="57"/>
      <c r="AI336" s="57"/>
      <c r="AJ336" s="57"/>
      <c r="AK336" s="57"/>
      <c r="AL336" s="59"/>
      <c r="AM336" s="57"/>
      <c r="AN336" s="57"/>
      <c r="AO336" s="55"/>
      <c r="AP336" s="55"/>
      <c r="AQ336" s="57"/>
      <c r="AR336" s="60"/>
      <c r="AS336" s="57"/>
      <c r="AT336" s="57"/>
      <c r="AU336" s="57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55"/>
      <c r="BG336" s="62"/>
      <c r="BH336" s="63">
        <f t="shared" ref="BH336:BH364" si="15">SUM(F336:BG336)</f>
        <v>1</v>
      </c>
      <c r="BI336" s="64">
        <v>1</v>
      </c>
      <c r="BJ336" s="62"/>
      <c r="BK336" s="62">
        <f>BH336-BI336</f>
        <v>0</v>
      </c>
      <c r="BL336" s="64"/>
      <c r="BM336" s="65"/>
      <c r="BN336" s="65"/>
      <c r="BO336" s="65"/>
    </row>
    <row r="337" spans="2:67" ht="18.95" customHeight="1">
      <c r="B337" s="51" t="s">
        <v>514</v>
      </c>
      <c r="C337" s="52" t="s">
        <v>74</v>
      </c>
      <c r="D337" s="136">
        <v>213</v>
      </c>
      <c r="E337" s="115" t="s">
        <v>515</v>
      </c>
      <c r="F337" s="66"/>
      <c r="G337" s="66"/>
      <c r="H337" s="66"/>
      <c r="I337" s="66"/>
      <c r="J337" s="66"/>
      <c r="K337" s="66">
        <v>1</v>
      </c>
      <c r="L337" s="66"/>
      <c r="M337" s="66"/>
      <c r="N337" s="67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8"/>
      <c r="AS337" s="66"/>
      <c r="AT337" s="66"/>
      <c r="AU337" s="66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55"/>
      <c r="BG337" s="70"/>
      <c r="BH337" s="63">
        <f t="shared" si="15"/>
        <v>1</v>
      </c>
      <c r="BI337" s="63">
        <v>1</v>
      </c>
      <c r="BJ337" s="70"/>
      <c r="BK337" s="62">
        <f t="shared" ref="BK337:BK364" si="16">BH337-BI337</f>
        <v>0</v>
      </c>
      <c r="BL337" s="63"/>
      <c r="BM337" s="71"/>
      <c r="BN337" s="71"/>
      <c r="BO337" s="72"/>
    </row>
    <row r="338" spans="2:67" ht="18.95" customHeight="1">
      <c r="B338" s="51" t="s">
        <v>516</v>
      </c>
      <c r="C338" s="73" t="s">
        <v>74</v>
      </c>
      <c r="D338" s="136">
        <v>214</v>
      </c>
      <c r="E338" s="115" t="s">
        <v>517</v>
      </c>
      <c r="F338" s="66"/>
      <c r="G338" s="66"/>
      <c r="H338" s="66"/>
      <c r="I338" s="66"/>
      <c r="J338" s="66"/>
      <c r="K338" s="66"/>
      <c r="L338" s="66"/>
      <c r="M338" s="66"/>
      <c r="N338" s="67"/>
      <c r="O338" s="66"/>
      <c r="P338" s="66"/>
      <c r="Q338" s="66"/>
      <c r="R338" s="66"/>
      <c r="S338" s="66"/>
      <c r="T338" s="66"/>
      <c r="U338" s="66">
        <v>1</v>
      </c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8"/>
      <c r="AS338" s="66"/>
      <c r="AT338" s="66"/>
      <c r="AU338" s="66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55"/>
      <c r="BG338" s="70"/>
      <c r="BH338" s="63">
        <f t="shared" si="15"/>
        <v>1</v>
      </c>
      <c r="BI338" s="63">
        <v>1</v>
      </c>
      <c r="BJ338" s="70"/>
      <c r="BK338" s="62">
        <f t="shared" si="16"/>
        <v>0</v>
      </c>
      <c r="BL338" s="63"/>
      <c r="BM338" s="71"/>
      <c r="BN338" s="71"/>
      <c r="BO338" s="71"/>
    </row>
    <row r="339" spans="2:67" ht="18.95" customHeight="1">
      <c r="B339" s="51" t="s">
        <v>518</v>
      </c>
      <c r="C339" s="73" t="s">
        <v>74</v>
      </c>
      <c r="D339" s="136">
        <v>215</v>
      </c>
      <c r="E339" s="115" t="s">
        <v>519</v>
      </c>
      <c r="F339" s="66"/>
      <c r="G339" s="66"/>
      <c r="H339" s="66"/>
      <c r="I339" s="66"/>
      <c r="J339" s="66"/>
      <c r="K339" s="66"/>
      <c r="L339" s="66"/>
      <c r="M339" s="66"/>
      <c r="N339" s="67"/>
      <c r="O339" s="66"/>
      <c r="P339" s="66"/>
      <c r="Q339" s="66"/>
      <c r="R339" s="66"/>
      <c r="S339" s="66"/>
      <c r="T339" s="66">
        <v>1</v>
      </c>
      <c r="U339" s="66"/>
      <c r="V339" s="66"/>
      <c r="W339" s="66"/>
      <c r="X339" s="66"/>
      <c r="Y339" s="66"/>
      <c r="Z339" s="66"/>
      <c r="AA339" s="66"/>
      <c r="AB339" s="66">
        <v>1</v>
      </c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>
        <v>1</v>
      </c>
      <c r="AP339" s="66"/>
      <c r="AQ339" s="66"/>
      <c r="AR339" s="68"/>
      <c r="AS339" s="66"/>
      <c r="AT339" s="66"/>
      <c r="AU339" s="66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55"/>
      <c r="BG339" s="70"/>
      <c r="BH339" s="63">
        <f t="shared" si="15"/>
        <v>3</v>
      </c>
      <c r="BI339" s="63">
        <v>3</v>
      </c>
      <c r="BJ339" s="70"/>
      <c r="BK339" s="62">
        <f t="shared" si="16"/>
        <v>0</v>
      </c>
      <c r="BL339" s="63"/>
      <c r="BM339" s="71"/>
      <c r="BN339" s="71"/>
      <c r="BO339" s="71"/>
    </row>
    <row r="340" spans="2:67" ht="18.95" customHeight="1">
      <c r="B340" s="51" t="s">
        <v>520</v>
      </c>
      <c r="C340" s="73" t="s">
        <v>74</v>
      </c>
      <c r="D340" s="136">
        <v>216</v>
      </c>
      <c r="E340" s="115" t="s">
        <v>521</v>
      </c>
      <c r="F340" s="66"/>
      <c r="G340" s="66"/>
      <c r="H340" s="66"/>
      <c r="I340" s="66"/>
      <c r="J340" s="66"/>
      <c r="K340" s="66"/>
      <c r="L340" s="66"/>
      <c r="M340" s="66"/>
      <c r="N340" s="67">
        <v>10</v>
      </c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8"/>
      <c r="AS340" s="66"/>
      <c r="AT340" s="66"/>
      <c r="AU340" s="66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55"/>
      <c r="BG340" s="70"/>
      <c r="BH340" s="63">
        <f t="shared" si="15"/>
        <v>10</v>
      </c>
      <c r="BI340" s="63">
        <v>10</v>
      </c>
      <c r="BJ340" s="70"/>
      <c r="BK340" s="62">
        <f t="shared" si="16"/>
        <v>0</v>
      </c>
      <c r="BL340" s="63"/>
      <c r="BM340" s="71"/>
      <c r="BN340" s="71"/>
      <c r="BO340" s="71"/>
    </row>
    <row r="341" spans="2:67" ht="18.75" customHeight="1">
      <c r="B341" s="51" t="s">
        <v>522</v>
      </c>
      <c r="C341" s="73" t="s">
        <v>74</v>
      </c>
      <c r="D341" s="136">
        <v>217</v>
      </c>
      <c r="E341" s="115" t="s">
        <v>523</v>
      </c>
      <c r="F341" s="66"/>
      <c r="G341" s="66"/>
      <c r="H341" s="66"/>
      <c r="I341" s="66"/>
      <c r="J341" s="66"/>
      <c r="K341" s="66"/>
      <c r="L341" s="66"/>
      <c r="M341" s="66"/>
      <c r="N341" s="67">
        <v>1</v>
      </c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8"/>
      <c r="AS341" s="66"/>
      <c r="AT341" s="66"/>
      <c r="AU341" s="66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55"/>
      <c r="BG341" s="70"/>
      <c r="BH341" s="63">
        <f t="shared" si="15"/>
        <v>1</v>
      </c>
      <c r="BI341" s="63">
        <v>1</v>
      </c>
      <c r="BJ341" s="70"/>
      <c r="BK341" s="62">
        <f t="shared" si="16"/>
        <v>0</v>
      </c>
      <c r="BL341" s="63"/>
      <c r="BM341" s="71"/>
      <c r="BN341" s="71"/>
      <c r="BO341" s="71"/>
    </row>
    <row r="342" spans="2:67" ht="18.75" customHeight="1">
      <c r="B342" s="51" t="s">
        <v>524</v>
      </c>
      <c r="C342" s="73" t="s">
        <v>74</v>
      </c>
      <c r="D342" s="136">
        <v>218</v>
      </c>
      <c r="E342" s="115" t="s">
        <v>525</v>
      </c>
      <c r="F342" s="66"/>
      <c r="G342" s="66">
        <v>1</v>
      </c>
      <c r="H342" s="66">
        <v>1</v>
      </c>
      <c r="I342" s="66">
        <v>1</v>
      </c>
      <c r="J342" s="66">
        <v>1</v>
      </c>
      <c r="K342" s="66"/>
      <c r="L342" s="66"/>
      <c r="M342" s="66">
        <v>1</v>
      </c>
      <c r="N342" s="67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8"/>
      <c r="AS342" s="66"/>
      <c r="AT342" s="66"/>
      <c r="AU342" s="66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55"/>
      <c r="BG342" s="70"/>
      <c r="BH342" s="63">
        <f t="shared" si="15"/>
        <v>5</v>
      </c>
      <c r="BI342" s="63">
        <v>5</v>
      </c>
      <c r="BJ342" s="70"/>
      <c r="BK342" s="62">
        <f t="shared" si="16"/>
        <v>0</v>
      </c>
      <c r="BL342" s="63"/>
      <c r="BM342" s="71"/>
      <c r="BN342" s="71"/>
      <c r="BO342" s="71"/>
    </row>
    <row r="343" spans="2:67" ht="18.95" customHeight="1">
      <c r="B343" s="51" t="s">
        <v>526</v>
      </c>
      <c r="C343" s="73" t="s">
        <v>74</v>
      </c>
      <c r="D343" s="136">
        <v>219</v>
      </c>
      <c r="E343" s="114" t="s">
        <v>527</v>
      </c>
      <c r="F343" s="66"/>
      <c r="G343" s="66"/>
      <c r="H343" s="66"/>
      <c r="I343" s="66"/>
      <c r="J343" s="66"/>
      <c r="K343" s="66"/>
      <c r="L343" s="66"/>
      <c r="M343" s="66"/>
      <c r="N343" s="67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>
        <v>3</v>
      </c>
      <c r="AQ343" s="66"/>
      <c r="AR343" s="68"/>
      <c r="AS343" s="66"/>
      <c r="AT343" s="66"/>
      <c r="AU343" s="66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55"/>
      <c r="BG343" s="70"/>
      <c r="BH343" s="63">
        <f t="shared" si="15"/>
        <v>3</v>
      </c>
      <c r="BI343" s="63">
        <v>3</v>
      </c>
      <c r="BJ343" s="70"/>
      <c r="BK343" s="62">
        <f t="shared" si="16"/>
        <v>0</v>
      </c>
      <c r="BL343" s="63"/>
      <c r="BM343" s="71"/>
      <c r="BN343" s="71"/>
      <c r="BO343" s="71"/>
    </row>
    <row r="344" spans="2:67" ht="18.95" customHeight="1">
      <c r="B344" s="51" t="s">
        <v>528</v>
      </c>
      <c r="C344" s="73" t="s">
        <v>74</v>
      </c>
      <c r="D344" s="136">
        <v>220</v>
      </c>
      <c r="E344" s="115" t="s">
        <v>529</v>
      </c>
      <c r="F344" s="66"/>
      <c r="G344" s="66"/>
      <c r="H344" s="66"/>
      <c r="I344" s="66"/>
      <c r="J344" s="66"/>
      <c r="K344" s="66"/>
      <c r="L344" s="66"/>
      <c r="M344" s="66"/>
      <c r="N344" s="67"/>
      <c r="O344" s="66"/>
      <c r="P344" s="66">
        <v>1</v>
      </c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8"/>
      <c r="AS344" s="66"/>
      <c r="AT344" s="66"/>
      <c r="AU344" s="66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55"/>
      <c r="BG344" s="70"/>
      <c r="BH344" s="63">
        <f t="shared" si="15"/>
        <v>1</v>
      </c>
      <c r="BI344" s="63">
        <v>1</v>
      </c>
      <c r="BJ344" s="70"/>
      <c r="BK344" s="62">
        <f t="shared" si="16"/>
        <v>0</v>
      </c>
      <c r="BL344" s="63"/>
      <c r="BM344" s="71"/>
      <c r="BN344" s="71"/>
      <c r="BO344" s="71"/>
    </row>
    <row r="345" spans="2:67" ht="18.75" customHeight="1">
      <c r="B345" s="51" t="s">
        <v>530</v>
      </c>
      <c r="C345" s="73" t="s">
        <v>74</v>
      </c>
      <c r="D345" s="136">
        <v>221</v>
      </c>
      <c r="E345" s="115" t="s">
        <v>531</v>
      </c>
      <c r="F345" s="66">
        <v>11</v>
      </c>
      <c r="G345" s="66">
        <v>11</v>
      </c>
      <c r="H345" s="66">
        <v>10</v>
      </c>
      <c r="I345" s="66">
        <v>11</v>
      </c>
      <c r="J345" s="66">
        <v>11</v>
      </c>
      <c r="K345" s="66"/>
      <c r="L345" s="66"/>
      <c r="M345" s="66"/>
      <c r="N345" s="67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8"/>
      <c r="AS345" s="66"/>
      <c r="AT345" s="66"/>
      <c r="AU345" s="66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55"/>
      <c r="BG345" s="70"/>
      <c r="BH345" s="63">
        <f t="shared" si="15"/>
        <v>54</v>
      </c>
      <c r="BI345" s="63">
        <v>55</v>
      </c>
      <c r="BJ345" s="70"/>
      <c r="BK345" s="62">
        <f t="shared" si="16"/>
        <v>-1</v>
      </c>
      <c r="BL345" s="63"/>
      <c r="BM345" s="71"/>
      <c r="BN345" s="71"/>
      <c r="BO345" s="71"/>
    </row>
    <row r="346" spans="2:67" ht="18.95" customHeight="1">
      <c r="B346" s="51" t="s">
        <v>532</v>
      </c>
      <c r="C346" s="73" t="s">
        <v>74</v>
      </c>
      <c r="D346" s="136">
        <v>222</v>
      </c>
      <c r="E346" s="114" t="s">
        <v>533</v>
      </c>
      <c r="F346" s="66"/>
      <c r="G346" s="66"/>
      <c r="H346" s="66"/>
      <c r="I346" s="66"/>
      <c r="J346" s="66"/>
      <c r="K346" s="66"/>
      <c r="L346" s="66"/>
      <c r="M346" s="66"/>
      <c r="N346" s="67"/>
      <c r="O346" s="66"/>
      <c r="P346" s="66"/>
      <c r="Q346" s="66"/>
      <c r="R346" s="66"/>
      <c r="S346" s="66"/>
      <c r="T346" s="66">
        <v>200</v>
      </c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8"/>
      <c r="AS346" s="66"/>
      <c r="AT346" s="66"/>
      <c r="AU346" s="66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55"/>
      <c r="BG346" s="70"/>
      <c r="BH346" s="63">
        <f t="shared" si="15"/>
        <v>200</v>
      </c>
      <c r="BI346" s="63">
        <v>200</v>
      </c>
      <c r="BJ346" s="70"/>
      <c r="BK346" s="62">
        <f t="shared" si="16"/>
        <v>0</v>
      </c>
      <c r="BL346" s="63"/>
      <c r="BM346" s="71"/>
      <c r="BN346" s="71"/>
      <c r="BO346" s="71"/>
    </row>
    <row r="347" spans="2:67" ht="18.95" customHeight="1">
      <c r="B347" s="51" t="s">
        <v>534</v>
      </c>
      <c r="C347" s="73" t="s">
        <v>74</v>
      </c>
      <c r="D347" s="136">
        <v>223</v>
      </c>
      <c r="E347" s="115" t="s">
        <v>535</v>
      </c>
      <c r="F347" s="66"/>
      <c r="G347" s="66"/>
      <c r="H347" s="66"/>
      <c r="I347" s="66"/>
      <c r="J347" s="66"/>
      <c r="K347" s="66"/>
      <c r="L347" s="66"/>
      <c r="M347" s="66"/>
      <c r="N347" s="67"/>
      <c r="O347" s="66"/>
      <c r="P347" s="66">
        <v>11</v>
      </c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8"/>
      <c r="AS347" s="66"/>
      <c r="AT347" s="66"/>
      <c r="AU347" s="66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55"/>
      <c r="BG347" s="70"/>
      <c r="BH347" s="63">
        <f t="shared" si="15"/>
        <v>11</v>
      </c>
      <c r="BI347" s="63">
        <v>11</v>
      </c>
      <c r="BJ347" s="70"/>
      <c r="BK347" s="62">
        <f t="shared" si="16"/>
        <v>0</v>
      </c>
      <c r="BL347" s="63"/>
      <c r="BM347" s="71"/>
      <c r="BN347" s="71"/>
      <c r="BO347" s="71"/>
    </row>
    <row r="348" spans="2:67" ht="18.75" customHeight="1">
      <c r="B348" s="51" t="s">
        <v>536</v>
      </c>
      <c r="C348" s="73" t="s">
        <v>74</v>
      </c>
      <c r="D348" s="136">
        <v>224</v>
      </c>
      <c r="E348" s="115" t="s">
        <v>537</v>
      </c>
      <c r="F348" s="66"/>
      <c r="G348" s="66"/>
      <c r="H348" s="66"/>
      <c r="I348" s="66"/>
      <c r="J348" s="66"/>
      <c r="K348" s="66"/>
      <c r="L348" s="66"/>
      <c r="M348" s="66"/>
      <c r="N348" s="67">
        <v>5</v>
      </c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8"/>
      <c r="AS348" s="66"/>
      <c r="AT348" s="66"/>
      <c r="AU348" s="66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55"/>
      <c r="BG348" s="70"/>
      <c r="BH348" s="63">
        <f t="shared" si="15"/>
        <v>5</v>
      </c>
      <c r="BI348" s="63">
        <v>5</v>
      </c>
      <c r="BJ348" s="70"/>
      <c r="BK348" s="62">
        <f t="shared" si="16"/>
        <v>0</v>
      </c>
      <c r="BL348" s="63"/>
      <c r="BM348" s="71"/>
      <c r="BN348" s="71"/>
      <c r="BO348" s="71"/>
    </row>
    <row r="349" spans="2:67" ht="18.95" customHeight="1">
      <c r="B349" s="51" t="s">
        <v>538</v>
      </c>
      <c r="C349" s="73" t="s">
        <v>74</v>
      </c>
      <c r="D349" s="136">
        <v>225</v>
      </c>
      <c r="E349" s="115" t="s">
        <v>539</v>
      </c>
      <c r="F349" s="66"/>
      <c r="G349" s="66"/>
      <c r="H349" s="66"/>
      <c r="I349" s="66"/>
      <c r="J349" s="66"/>
      <c r="K349" s="66"/>
      <c r="L349" s="66"/>
      <c r="M349" s="66"/>
      <c r="N349" s="67">
        <v>5</v>
      </c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8"/>
      <c r="AS349" s="66"/>
      <c r="AT349" s="66"/>
      <c r="AU349" s="66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55"/>
      <c r="BG349" s="70"/>
      <c r="BH349" s="63">
        <f t="shared" si="15"/>
        <v>5</v>
      </c>
      <c r="BI349" s="63">
        <v>5</v>
      </c>
      <c r="BJ349" s="70"/>
      <c r="BK349" s="62">
        <f t="shared" si="16"/>
        <v>0</v>
      </c>
      <c r="BL349" s="63"/>
      <c r="BM349" s="71"/>
      <c r="BN349" s="71"/>
      <c r="BO349" s="71"/>
    </row>
    <row r="350" spans="2:67" ht="18.75" customHeight="1">
      <c r="B350" s="51" t="s">
        <v>540</v>
      </c>
      <c r="C350" s="73" t="s">
        <v>74</v>
      </c>
      <c r="D350" s="136">
        <v>226</v>
      </c>
      <c r="E350" s="115" t="s">
        <v>541</v>
      </c>
      <c r="F350" s="66"/>
      <c r="G350" s="66"/>
      <c r="H350" s="66"/>
      <c r="I350" s="66"/>
      <c r="J350" s="66"/>
      <c r="K350" s="66"/>
      <c r="L350" s="66"/>
      <c r="M350" s="66"/>
      <c r="N350" s="67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8"/>
      <c r="AS350" s="66"/>
      <c r="AT350" s="66"/>
      <c r="AU350" s="66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55"/>
      <c r="BG350" s="70">
        <v>1</v>
      </c>
      <c r="BH350" s="63">
        <f t="shared" si="15"/>
        <v>1</v>
      </c>
      <c r="BI350" s="63">
        <v>1</v>
      </c>
      <c r="BJ350" s="70"/>
      <c r="BK350" s="62">
        <f t="shared" si="16"/>
        <v>0</v>
      </c>
      <c r="BL350" s="63"/>
      <c r="BM350" s="71"/>
      <c r="BN350" s="71"/>
      <c r="BO350" s="71"/>
    </row>
    <row r="351" spans="2:67" ht="18.95" customHeight="1">
      <c r="B351" s="51" t="s">
        <v>542</v>
      </c>
      <c r="C351" s="52" t="s">
        <v>74</v>
      </c>
      <c r="D351" s="136">
        <v>227</v>
      </c>
      <c r="E351" s="115" t="s">
        <v>543</v>
      </c>
      <c r="F351" s="66"/>
      <c r="G351" s="66"/>
      <c r="H351" s="66"/>
      <c r="I351" s="66"/>
      <c r="J351" s="66"/>
      <c r="K351" s="66"/>
      <c r="L351" s="66"/>
      <c r="M351" s="66"/>
      <c r="N351" s="67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8"/>
      <c r="AS351" s="66"/>
      <c r="AT351" s="66"/>
      <c r="AU351" s="66"/>
      <c r="AV351" s="69"/>
      <c r="AW351" s="69"/>
      <c r="AX351" s="69">
        <v>1</v>
      </c>
      <c r="AY351" s="69"/>
      <c r="AZ351" s="69"/>
      <c r="BA351" s="69"/>
      <c r="BB351" s="69"/>
      <c r="BC351" s="69"/>
      <c r="BD351" s="69"/>
      <c r="BE351" s="69"/>
      <c r="BF351" s="55"/>
      <c r="BG351" s="70"/>
      <c r="BH351" s="63">
        <f t="shared" si="15"/>
        <v>1</v>
      </c>
      <c r="BI351" s="63">
        <v>1</v>
      </c>
      <c r="BJ351" s="70"/>
      <c r="BK351" s="62">
        <f t="shared" si="16"/>
        <v>0</v>
      </c>
      <c r="BL351" s="63"/>
      <c r="BM351" s="71"/>
      <c r="BN351" s="71"/>
      <c r="BO351" s="71"/>
    </row>
    <row r="352" spans="2:67" ht="18.95" customHeight="1">
      <c r="B352" s="51" t="s">
        <v>544</v>
      </c>
      <c r="C352" s="73" t="s">
        <v>74</v>
      </c>
      <c r="D352" s="136">
        <v>228</v>
      </c>
      <c r="E352" s="115" t="s">
        <v>545</v>
      </c>
      <c r="F352" s="66"/>
      <c r="G352" s="66"/>
      <c r="H352" s="66"/>
      <c r="I352" s="66"/>
      <c r="J352" s="66"/>
      <c r="K352" s="66"/>
      <c r="L352" s="66"/>
      <c r="M352" s="66"/>
      <c r="N352" s="67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8"/>
      <c r="AS352" s="66"/>
      <c r="AT352" s="66"/>
      <c r="AU352" s="66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55"/>
      <c r="BG352" s="70"/>
      <c r="BH352" s="63">
        <f t="shared" si="15"/>
        <v>0</v>
      </c>
      <c r="BI352" s="63">
        <v>1</v>
      </c>
      <c r="BJ352" s="70"/>
      <c r="BK352" s="62">
        <f t="shared" si="16"/>
        <v>-1</v>
      </c>
      <c r="BL352" s="63" t="s">
        <v>546</v>
      </c>
      <c r="BM352" s="71"/>
      <c r="BN352" s="71"/>
      <c r="BO352" s="71"/>
    </row>
    <row r="353" spans="2:67" ht="18.95" customHeight="1">
      <c r="B353" s="51" t="s">
        <v>547</v>
      </c>
      <c r="C353" s="73" t="s">
        <v>74</v>
      </c>
      <c r="D353" s="136">
        <v>229</v>
      </c>
      <c r="E353" s="115" t="s">
        <v>548</v>
      </c>
      <c r="F353" s="66"/>
      <c r="G353" s="66"/>
      <c r="H353" s="66"/>
      <c r="I353" s="66"/>
      <c r="J353" s="66"/>
      <c r="K353" s="66"/>
      <c r="L353" s="66"/>
      <c r="M353" s="66"/>
      <c r="N353" s="67"/>
      <c r="O353" s="66">
        <v>1</v>
      </c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8"/>
      <c r="AS353" s="66"/>
      <c r="AT353" s="66"/>
      <c r="AU353" s="66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55"/>
      <c r="BG353" s="70"/>
      <c r="BH353" s="63">
        <f t="shared" si="15"/>
        <v>1</v>
      </c>
      <c r="BI353" s="63">
        <v>1</v>
      </c>
      <c r="BJ353" s="70"/>
      <c r="BK353" s="62">
        <f t="shared" si="16"/>
        <v>0</v>
      </c>
      <c r="BL353" s="63"/>
      <c r="BM353" s="71"/>
      <c r="BN353" s="71"/>
      <c r="BO353" s="71"/>
    </row>
    <row r="354" spans="2:67" ht="18.95" customHeight="1">
      <c r="B354" s="51" t="s">
        <v>549</v>
      </c>
      <c r="C354" s="73" t="s">
        <v>74</v>
      </c>
      <c r="D354" s="136">
        <v>230</v>
      </c>
      <c r="E354" s="115" t="s">
        <v>550</v>
      </c>
      <c r="F354" s="66"/>
      <c r="G354" s="66"/>
      <c r="H354" s="66"/>
      <c r="I354" s="66"/>
      <c r="J354" s="66"/>
      <c r="K354" s="66"/>
      <c r="L354" s="66"/>
      <c r="M354" s="66"/>
      <c r="N354" s="67">
        <v>1</v>
      </c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8"/>
      <c r="AS354" s="66"/>
      <c r="AT354" s="66"/>
      <c r="AU354" s="66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55"/>
      <c r="BG354" s="70"/>
      <c r="BH354" s="63">
        <f t="shared" si="15"/>
        <v>1</v>
      </c>
      <c r="BI354" s="63">
        <v>1</v>
      </c>
      <c r="BJ354" s="70"/>
      <c r="BK354" s="62">
        <f t="shared" si="16"/>
        <v>0</v>
      </c>
      <c r="BL354" s="63"/>
      <c r="BM354" s="71"/>
      <c r="BN354" s="71"/>
      <c r="BO354" s="71"/>
    </row>
    <row r="355" spans="2:67" ht="18.75" customHeight="1">
      <c r="B355" s="51" t="s">
        <v>551</v>
      </c>
      <c r="C355" s="73" t="s">
        <v>74</v>
      </c>
      <c r="D355" s="136">
        <v>231</v>
      </c>
      <c r="E355" s="115" t="s">
        <v>552</v>
      </c>
      <c r="F355" s="66"/>
      <c r="G355" s="66"/>
      <c r="H355" s="66"/>
      <c r="I355" s="66"/>
      <c r="J355" s="66"/>
      <c r="K355" s="66"/>
      <c r="L355" s="66"/>
      <c r="M355" s="66"/>
      <c r="N355" s="67">
        <v>1</v>
      </c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8"/>
      <c r="AS355" s="66"/>
      <c r="AT355" s="66"/>
      <c r="AU355" s="66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55"/>
      <c r="BG355" s="70"/>
      <c r="BH355" s="63">
        <f t="shared" si="15"/>
        <v>1</v>
      </c>
      <c r="BI355" s="63">
        <v>1</v>
      </c>
      <c r="BJ355" s="70"/>
      <c r="BK355" s="62">
        <f t="shared" si="16"/>
        <v>0</v>
      </c>
      <c r="BL355" s="63"/>
      <c r="BM355" s="71"/>
      <c r="BN355" s="71"/>
      <c r="BO355" s="71"/>
    </row>
    <row r="356" spans="2:67" ht="18.95" customHeight="1">
      <c r="B356" s="51" t="s">
        <v>553</v>
      </c>
      <c r="C356" s="73" t="s">
        <v>74</v>
      </c>
      <c r="D356" s="136">
        <v>232</v>
      </c>
      <c r="E356" s="115" t="s">
        <v>554</v>
      </c>
      <c r="F356" s="66"/>
      <c r="G356" s="66"/>
      <c r="H356" s="66"/>
      <c r="I356" s="66">
        <v>2</v>
      </c>
      <c r="J356" s="66"/>
      <c r="K356" s="66"/>
      <c r="L356" s="66"/>
      <c r="M356" s="66"/>
      <c r="N356" s="67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8"/>
      <c r="AS356" s="66"/>
      <c r="AT356" s="66"/>
      <c r="AU356" s="66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55"/>
      <c r="BG356" s="70"/>
      <c r="BH356" s="63">
        <f t="shared" si="15"/>
        <v>2</v>
      </c>
      <c r="BI356" s="63">
        <v>2</v>
      </c>
      <c r="BJ356" s="70"/>
      <c r="BK356" s="62">
        <f t="shared" si="16"/>
        <v>0</v>
      </c>
      <c r="BL356" s="63"/>
      <c r="BM356" s="71"/>
      <c r="BN356" s="71"/>
      <c r="BO356" s="71"/>
    </row>
    <row r="357" spans="2:67" ht="18.95" customHeight="1">
      <c r="B357" s="51" t="s">
        <v>555</v>
      </c>
      <c r="C357" s="73" t="s">
        <v>74</v>
      </c>
      <c r="D357" s="136">
        <v>233</v>
      </c>
      <c r="E357" s="114" t="s">
        <v>556</v>
      </c>
      <c r="F357" s="66"/>
      <c r="G357" s="66"/>
      <c r="H357" s="66"/>
      <c r="I357" s="66">
        <v>1</v>
      </c>
      <c r="J357" s="66"/>
      <c r="K357" s="66"/>
      <c r="L357" s="66"/>
      <c r="M357" s="66"/>
      <c r="N357" s="67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8"/>
      <c r="AS357" s="66"/>
      <c r="AT357" s="66"/>
      <c r="AU357" s="66">
        <v>1</v>
      </c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55"/>
      <c r="BG357" s="70"/>
      <c r="BH357" s="63">
        <f t="shared" si="15"/>
        <v>2</v>
      </c>
      <c r="BI357" s="63">
        <v>2</v>
      </c>
      <c r="BJ357" s="70"/>
      <c r="BK357" s="62">
        <f t="shared" si="16"/>
        <v>0</v>
      </c>
      <c r="BL357" s="63"/>
      <c r="BM357" s="71"/>
      <c r="BN357" s="71"/>
      <c r="BO357" s="71"/>
    </row>
    <row r="358" spans="2:67" ht="18.75" customHeight="1">
      <c r="B358" s="51" t="s">
        <v>557</v>
      </c>
      <c r="C358" s="73" t="s">
        <v>74</v>
      </c>
      <c r="D358" s="136">
        <v>234</v>
      </c>
      <c r="E358" s="114" t="s">
        <v>558</v>
      </c>
      <c r="F358" s="66"/>
      <c r="G358" s="66"/>
      <c r="H358" s="66"/>
      <c r="I358" s="66"/>
      <c r="J358" s="66"/>
      <c r="K358" s="66"/>
      <c r="L358" s="66"/>
      <c r="M358" s="66"/>
      <c r="N358" s="67"/>
      <c r="O358" s="66"/>
      <c r="P358" s="66"/>
      <c r="Q358" s="66"/>
      <c r="R358" s="66"/>
      <c r="S358" s="66">
        <v>2</v>
      </c>
      <c r="T358" s="66">
        <v>1</v>
      </c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8"/>
      <c r="AS358" s="66"/>
      <c r="AT358" s="66"/>
      <c r="AU358" s="66">
        <v>1</v>
      </c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55"/>
      <c r="BG358" s="70"/>
      <c r="BH358" s="63">
        <f t="shared" si="15"/>
        <v>4</v>
      </c>
      <c r="BI358" s="63">
        <v>4</v>
      </c>
      <c r="BJ358" s="70"/>
      <c r="BK358" s="62">
        <f t="shared" si="16"/>
        <v>0</v>
      </c>
      <c r="BL358" s="63"/>
      <c r="BM358" s="71"/>
      <c r="BN358" s="71"/>
      <c r="BO358" s="71"/>
    </row>
    <row r="359" spans="2:67" ht="18.75" customHeight="1">
      <c r="B359" s="51" t="s">
        <v>559</v>
      </c>
      <c r="C359" s="73" t="s">
        <v>74</v>
      </c>
      <c r="D359" s="136">
        <v>235</v>
      </c>
      <c r="E359" s="114" t="s">
        <v>560</v>
      </c>
      <c r="F359" s="66">
        <v>1</v>
      </c>
      <c r="G359" s="66">
        <v>1</v>
      </c>
      <c r="H359" s="66">
        <v>1</v>
      </c>
      <c r="I359" s="66"/>
      <c r="J359" s="66">
        <v>1</v>
      </c>
      <c r="K359" s="66">
        <v>1</v>
      </c>
      <c r="L359" s="66">
        <v>1</v>
      </c>
      <c r="M359" s="66">
        <v>1</v>
      </c>
      <c r="N359" s="67">
        <v>1</v>
      </c>
      <c r="O359" s="66"/>
      <c r="P359" s="66">
        <v>1</v>
      </c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75"/>
      <c r="AM359" s="66"/>
      <c r="AN359" s="66"/>
      <c r="AO359" s="66"/>
      <c r="AP359" s="66">
        <v>1</v>
      </c>
      <c r="AQ359" s="66"/>
      <c r="AR359" s="68"/>
      <c r="AS359" s="66"/>
      <c r="AT359" s="66"/>
      <c r="AU359" s="66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55"/>
      <c r="BG359" s="70"/>
      <c r="BH359" s="63">
        <f t="shared" si="15"/>
        <v>10</v>
      </c>
      <c r="BI359" s="63">
        <v>10</v>
      </c>
      <c r="BJ359" s="70"/>
      <c r="BK359" s="62">
        <f t="shared" si="16"/>
        <v>0</v>
      </c>
      <c r="BL359" s="63"/>
      <c r="BM359" s="71"/>
      <c r="BN359" s="71"/>
      <c r="BO359" s="71"/>
    </row>
    <row r="360" spans="2:67" ht="18.75" customHeight="1">
      <c r="B360" s="51" t="s">
        <v>561</v>
      </c>
      <c r="C360" s="73" t="s">
        <v>74</v>
      </c>
      <c r="D360" s="136">
        <v>236</v>
      </c>
      <c r="E360" s="137" t="s">
        <v>562</v>
      </c>
      <c r="F360" s="66"/>
      <c r="G360" s="66"/>
      <c r="H360" s="66"/>
      <c r="I360" s="66"/>
      <c r="J360" s="66"/>
      <c r="K360" s="66">
        <v>2</v>
      </c>
      <c r="L360" s="66"/>
      <c r="M360" s="66"/>
      <c r="N360" s="67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75"/>
      <c r="AM360" s="66"/>
      <c r="AN360" s="66"/>
      <c r="AO360" s="66"/>
      <c r="AP360" s="66"/>
      <c r="AQ360" s="66"/>
      <c r="AR360" s="68"/>
      <c r="AS360" s="66"/>
      <c r="AT360" s="66"/>
      <c r="AU360" s="66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55"/>
      <c r="BG360" s="70"/>
      <c r="BH360" s="63">
        <f t="shared" si="15"/>
        <v>2</v>
      </c>
      <c r="BI360" s="63">
        <v>2</v>
      </c>
      <c r="BJ360" s="70"/>
      <c r="BK360" s="62">
        <f t="shared" si="16"/>
        <v>0</v>
      </c>
      <c r="BL360" s="63"/>
      <c r="BM360" s="71"/>
      <c r="BN360" s="71"/>
      <c r="BO360" s="71"/>
    </row>
    <row r="361" spans="2:67" ht="18.75" customHeight="1">
      <c r="B361" s="51" t="s">
        <v>563</v>
      </c>
      <c r="C361" s="73" t="s">
        <v>74</v>
      </c>
      <c r="D361" s="136">
        <v>237</v>
      </c>
      <c r="E361" s="115" t="s">
        <v>564</v>
      </c>
      <c r="F361" s="66"/>
      <c r="G361" s="66"/>
      <c r="H361" s="66"/>
      <c r="I361" s="66"/>
      <c r="J361" s="66"/>
      <c r="K361" s="66">
        <v>2</v>
      </c>
      <c r="L361" s="66"/>
      <c r="M361" s="66"/>
      <c r="N361" s="67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8"/>
      <c r="AS361" s="66"/>
      <c r="AT361" s="66"/>
      <c r="AU361" s="66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55"/>
      <c r="BG361" s="70"/>
      <c r="BH361" s="63">
        <f t="shared" si="15"/>
        <v>2</v>
      </c>
      <c r="BI361" s="63">
        <v>2</v>
      </c>
      <c r="BJ361" s="70"/>
      <c r="BK361" s="62">
        <f t="shared" si="16"/>
        <v>0</v>
      </c>
      <c r="BL361" s="63"/>
      <c r="BM361" s="71"/>
      <c r="BN361" s="65"/>
      <c r="BO361" s="65"/>
    </row>
    <row r="362" spans="2:67" ht="18.95" customHeight="1">
      <c r="B362" s="51" t="s">
        <v>565</v>
      </c>
      <c r="C362" s="73" t="s">
        <v>74</v>
      </c>
      <c r="D362" s="136">
        <v>238</v>
      </c>
      <c r="E362" s="115" t="s">
        <v>566</v>
      </c>
      <c r="F362" s="55"/>
      <c r="G362" s="66"/>
      <c r="H362" s="66"/>
      <c r="I362" s="66"/>
      <c r="J362" s="66"/>
      <c r="K362" s="66">
        <v>2</v>
      </c>
      <c r="L362" s="66"/>
      <c r="M362" s="66"/>
      <c r="N362" s="67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75"/>
      <c r="AM362" s="66"/>
      <c r="AN362" s="66"/>
      <c r="AO362" s="66"/>
      <c r="AP362" s="66"/>
      <c r="AQ362" s="66"/>
      <c r="AR362" s="68"/>
      <c r="AS362" s="66"/>
      <c r="AT362" s="66"/>
      <c r="AU362" s="66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55"/>
      <c r="BG362" s="70"/>
      <c r="BH362" s="63">
        <f t="shared" si="15"/>
        <v>2</v>
      </c>
      <c r="BI362" s="63">
        <v>2</v>
      </c>
      <c r="BJ362" s="70"/>
      <c r="BK362" s="62">
        <f t="shared" si="16"/>
        <v>0</v>
      </c>
      <c r="BL362" s="63"/>
      <c r="BM362" s="71"/>
      <c r="BN362" s="65"/>
      <c r="BO362" s="65"/>
    </row>
    <row r="363" spans="2:67" ht="18.95" customHeight="1">
      <c r="B363" s="51" t="s">
        <v>567</v>
      </c>
      <c r="C363" s="73" t="s">
        <v>74</v>
      </c>
      <c r="D363" s="136">
        <v>239</v>
      </c>
      <c r="E363" s="114" t="s">
        <v>568</v>
      </c>
      <c r="F363" s="66"/>
      <c r="G363" s="66"/>
      <c r="H363" s="66"/>
      <c r="I363" s="66"/>
      <c r="J363" s="66"/>
      <c r="K363" s="66"/>
      <c r="L363" s="66"/>
      <c r="M363" s="66"/>
      <c r="N363" s="67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>
        <v>2</v>
      </c>
      <c r="AQ363" s="66"/>
      <c r="AR363" s="68"/>
      <c r="AS363" s="66"/>
      <c r="AT363" s="66"/>
      <c r="AU363" s="66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55"/>
      <c r="BG363" s="70"/>
      <c r="BH363" s="63">
        <f t="shared" si="15"/>
        <v>2</v>
      </c>
      <c r="BI363" s="63">
        <v>2</v>
      </c>
      <c r="BJ363" s="70"/>
      <c r="BK363" s="62">
        <f t="shared" si="16"/>
        <v>0</v>
      </c>
      <c r="BL363" s="63"/>
      <c r="BM363" s="71"/>
      <c r="BN363" s="71"/>
      <c r="BO363" s="71"/>
    </row>
    <row r="364" spans="2:67" ht="18.95" customHeight="1">
      <c r="B364" s="51" t="s">
        <v>569</v>
      </c>
      <c r="C364" s="73" t="s">
        <v>74</v>
      </c>
      <c r="D364" s="136">
        <v>240</v>
      </c>
      <c r="E364" s="138" t="s">
        <v>570</v>
      </c>
      <c r="F364" s="55"/>
      <c r="G364" s="55"/>
      <c r="H364" s="55"/>
      <c r="I364" s="55"/>
      <c r="J364" s="55"/>
      <c r="K364" s="55"/>
      <c r="L364" s="55"/>
      <c r="M364" s="55"/>
      <c r="N364" s="56"/>
      <c r="O364" s="55"/>
      <c r="P364" s="55"/>
      <c r="Q364" s="55"/>
      <c r="R364" s="55"/>
      <c r="S364" s="55"/>
      <c r="T364" s="55">
        <v>1</v>
      </c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76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70"/>
      <c r="BH364" s="63">
        <f t="shared" si="15"/>
        <v>1</v>
      </c>
      <c r="BI364" s="63">
        <v>1</v>
      </c>
      <c r="BJ364" s="70"/>
      <c r="BK364" s="62">
        <f t="shared" si="16"/>
        <v>0</v>
      </c>
      <c r="BL364" s="63"/>
      <c r="BM364" s="71"/>
      <c r="BN364" s="65"/>
      <c r="BO364" s="65"/>
    </row>
    <row r="365" spans="2:67">
      <c r="B365" s="87"/>
      <c r="C365" s="87"/>
      <c r="D365" s="87"/>
      <c r="E365" s="87"/>
      <c r="BK365" s="62"/>
    </row>
    <row r="366" spans="2:67">
      <c r="B366" s="87"/>
      <c r="C366" s="87"/>
      <c r="D366" s="87"/>
      <c r="E366" s="87"/>
    </row>
    <row r="367" spans="2:67">
      <c r="B367" s="87"/>
      <c r="C367" s="87"/>
      <c r="D367" s="87"/>
      <c r="E367" s="87"/>
    </row>
    <row r="368" spans="2:67">
      <c r="B368" s="87"/>
      <c r="C368" s="87"/>
      <c r="D368" s="87"/>
      <c r="E368" s="87"/>
    </row>
    <row r="369" spans="2:67">
      <c r="B369" s="87"/>
      <c r="C369" s="87"/>
      <c r="D369" s="87"/>
      <c r="E369" s="87"/>
    </row>
    <row r="370" spans="2:67">
      <c r="B370" s="87"/>
      <c r="C370" s="87"/>
      <c r="D370" s="87"/>
      <c r="E370" s="87"/>
    </row>
    <row r="371" spans="2:67">
      <c r="B371" s="87"/>
      <c r="C371" s="87"/>
      <c r="D371" s="87"/>
      <c r="E371" s="87"/>
    </row>
    <row r="372" spans="2:67">
      <c r="B372" s="87"/>
      <c r="C372" s="87"/>
      <c r="D372" s="87"/>
      <c r="E372" s="87"/>
    </row>
    <row r="373" spans="2:67">
      <c r="B373" s="87"/>
      <c r="C373" s="87"/>
      <c r="D373" s="87"/>
      <c r="E373" s="87"/>
    </row>
    <row r="374" spans="2:67">
      <c r="B374" s="87"/>
      <c r="C374" s="87"/>
      <c r="D374" s="87"/>
      <c r="E374" s="87"/>
    </row>
    <row r="375" spans="2:67">
      <c r="B375" s="87"/>
      <c r="C375" s="87"/>
      <c r="D375" s="87"/>
      <c r="E375" s="87"/>
    </row>
    <row r="376" spans="2:67">
      <c r="B376" s="87"/>
      <c r="C376" s="87"/>
      <c r="D376" s="87"/>
      <c r="E376" s="87"/>
    </row>
    <row r="377" spans="2:67">
      <c r="B377" s="2" t="s">
        <v>1</v>
      </c>
      <c r="C377" s="2"/>
      <c r="D377" s="2"/>
      <c r="E377" s="2"/>
      <c r="F377" s="3"/>
      <c r="G377" s="4"/>
      <c r="H377" s="4"/>
      <c r="I377" s="4"/>
      <c r="J377" s="4"/>
      <c r="K377" s="4"/>
      <c r="L377" s="4"/>
      <c r="M377" s="4"/>
      <c r="N377" s="107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5"/>
      <c r="AF377" s="5"/>
      <c r="AG377" s="5"/>
      <c r="AH377" s="5"/>
      <c r="AI377" s="5"/>
      <c r="AJ377" s="5"/>
      <c r="AK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7"/>
      <c r="BI377" s="7"/>
      <c r="BJ377" s="5"/>
      <c r="BK377" s="5"/>
      <c r="BM377" s="5"/>
      <c r="BN377" s="5"/>
      <c r="BO377" s="5"/>
    </row>
    <row r="378" spans="2:67" ht="20.25">
      <c r="B378" s="2"/>
      <c r="C378" s="2"/>
      <c r="D378" s="2"/>
      <c r="E378" s="2"/>
      <c r="F378" s="1" t="s">
        <v>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9" t="s">
        <v>571</v>
      </c>
      <c r="BG378" s="10"/>
      <c r="BH378" s="10"/>
      <c r="BI378" s="10"/>
      <c r="BJ378" s="10"/>
      <c r="BK378" s="10"/>
      <c r="BL378" s="10"/>
      <c r="BM378" s="10"/>
      <c r="BN378" s="10"/>
      <c r="BO378" s="11"/>
    </row>
    <row r="379" spans="2:67">
      <c r="B379" s="12"/>
      <c r="C379" s="12"/>
      <c r="D379" s="12"/>
      <c r="E379" s="12"/>
      <c r="F379" s="13"/>
      <c r="G379" s="14" t="s">
        <v>3</v>
      </c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6"/>
      <c r="AM379" s="15"/>
      <c r="AN379" s="15"/>
      <c r="AO379" s="15"/>
      <c r="AP379" s="15"/>
      <c r="AQ379" s="15"/>
      <c r="AR379" s="17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8"/>
      <c r="BM379" s="15"/>
      <c r="BN379" s="15"/>
      <c r="BO379" s="15"/>
    </row>
    <row r="380" spans="2:67" ht="15">
      <c r="B380" s="19" t="s">
        <v>4</v>
      </c>
      <c r="C380" s="20" t="s">
        <v>5</v>
      </c>
      <c r="D380" s="20"/>
      <c r="E380" s="21" t="s">
        <v>6</v>
      </c>
      <c r="F380" s="110" t="s">
        <v>135</v>
      </c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24" t="s">
        <v>8</v>
      </c>
      <c r="BG380" s="25"/>
      <c r="BH380" s="25"/>
      <c r="BI380" s="26"/>
      <c r="BJ380" s="31" t="s">
        <v>9</v>
      </c>
      <c r="BK380" s="32"/>
      <c r="BL380" s="29"/>
      <c r="BM380" s="30"/>
      <c r="BN380" s="31" t="s">
        <v>10</v>
      </c>
      <c r="BO380" s="32"/>
    </row>
    <row r="381" spans="2:67" ht="110.1" customHeight="1">
      <c r="B381" s="33"/>
      <c r="C381" s="34" t="s">
        <v>11</v>
      </c>
      <c r="D381" s="35" t="s">
        <v>4</v>
      </c>
      <c r="E381" s="35" t="s">
        <v>12</v>
      </c>
      <c r="F381" s="36" t="s">
        <v>13</v>
      </c>
      <c r="G381" s="36" t="s">
        <v>14</v>
      </c>
      <c r="H381" s="36" t="s">
        <v>15</v>
      </c>
      <c r="I381" s="36" t="s">
        <v>16</v>
      </c>
      <c r="J381" s="36" t="s">
        <v>17</v>
      </c>
      <c r="K381" s="36" t="s">
        <v>18</v>
      </c>
      <c r="L381" s="36" t="s">
        <v>19</v>
      </c>
      <c r="M381" s="36" t="s">
        <v>20</v>
      </c>
      <c r="N381" s="37" t="s">
        <v>21</v>
      </c>
      <c r="O381" s="36" t="s">
        <v>22</v>
      </c>
      <c r="P381" s="36" t="s">
        <v>23</v>
      </c>
      <c r="Q381" s="36" t="s">
        <v>24</v>
      </c>
      <c r="R381" s="36" t="s">
        <v>25</v>
      </c>
      <c r="S381" s="36" t="s">
        <v>26</v>
      </c>
      <c r="T381" s="36" t="s">
        <v>27</v>
      </c>
      <c r="U381" s="36" t="s">
        <v>28</v>
      </c>
      <c r="V381" s="36" t="s">
        <v>29</v>
      </c>
      <c r="W381" s="36" t="s">
        <v>30</v>
      </c>
      <c r="X381" s="38" t="s">
        <v>31</v>
      </c>
      <c r="Y381" s="36" t="s">
        <v>32</v>
      </c>
      <c r="Z381" s="36" t="s">
        <v>33</v>
      </c>
      <c r="AA381" s="36" t="s">
        <v>34</v>
      </c>
      <c r="AB381" s="38" t="s">
        <v>35</v>
      </c>
      <c r="AC381" s="36" t="s">
        <v>36</v>
      </c>
      <c r="AD381" s="39" t="s">
        <v>37</v>
      </c>
      <c r="AE381" s="36" t="s">
        <v>38</v>
      </c>
      <c r="AF381" s="40" t="s">
        <v>39</v>
      </c>
      <c r="AG381" s="40" t="s">
        <v>40</v>
      </c>
      <c r="AH381" s="40" t="s">
        <v>41</v>
      </c>
      <c r="AI381" s="40" t="s">
        <v>42</v>
      </c>
      <c r="AJ381" s="40" t="s">
        <v>43</v>
      </c>
      <c r="AK381" s="40" t="s">
        <v>44</v>
      </c>
      <c r="AL381" s="41" t="s">
        <v>45</v>
      </c>
      <c r="AM381" s="42" t="s">
        <v>46</v>
      </c>
      <c r="AN381" s="43" t="s">
        <v>47</v>
      </c>
      <c r="AO381" s="40" t="s">
        <v>48</v>
      </c>
      <c r="AP381" s="40" t="s">
        <v>49</v>
      </c>
      <c r="AQ381" s="40" t="s">
        <v>50</v>
      </c>
      <c r="AR381" s="44" t="s">
        <v>136</v>
      </c>
      <c r="AS381" s="36" t="s">
        <v>52</v>
      </c>
      <c r="AT381" s="36" t="s">
        <v>53</v>
      </c>
      <c r="AU381" s="36" t="s">
        <v>54</v>
      </c>
      <c r="AV381" s="36" t="s">
        <v>55</v>
      </c>
      <c r="AW381" s="36" t="s">
        <v>56</v>
      </c>
      <c r="AX381" s="36" t="s">
        <v>203</v>
      </c>
      <c r="AY381" s="36" t="s">
        <v>58</v>
      </c>
      <c r="AZ381" s="38" t="s">
        <v>59</v>
      </c>
      <c r="BA381" s="36" t="s">
        <v>60</v>
      </c>
      <c r="BB381" s="36" t="s">
        <v>61</v>
      </c>
      <c r="BC381" s="39" t="s">
        <v>62</v>
      </c>
      <c r="BD381" s="36" t="s">
        <v>63</v>
      </c>
      <c r="BE381" s="36" t="s">
        <v>64</v>
      </c>
      <c r="BF381" s="45" t="s">
        <v>65</v>
      </c>
      <c r="BG381" s="45" t="s">
        <v>66</v>
      </c>
      <c r="BH381" s="45" t="s">
        <v>67</v>
      </c>
      <c r="BI381" s="45" t="s">
        <v>68</v>
      </c>
      <c r="BJ381" s="46" t="s">
        <v>69</v>
      </c>
      <c r="BK381" s="46" t="s">
        <v>70</v>
      </c>
      <c r="BL381" s="47" t="s">
        <v>71</v>
      </c>
      <c r="BM381" s="48" t="s">
        <v>72</v>
      </c>
      <c r="BN381" s="49" t="s">
        <v>69</v>
      </c>
      <c r="BO381" s="50" t="s">
        <v>70</v>
      </c>
    </row>
    <row r="382" spans="2:67" ht="18.95" customHeight="1">
      <c r="B382" s="51" t="s">
        <v>572</v>
      </c>
      <c r="C382" s="52" t="s">
        <v>74</v>
      </c>
      <c r="D382" s="53" t="s">
        <v>572</v>
      </c>
      <c r="E382" s="115" t="s">
        <v>573</v>
      </c>
      <c r="F382" s="55"/>
      <c r="G382" s="55"/>
      <c r="H382" s="55"/>
      <c r="I382" s="55"/>
      <c r="J382" s="55"/>
      <c r="K382" s="55"/>
      <c r="L382" s="55"/>
      <c r="M382" s="55"/>
      <c r="N382" s="56"/>
      <c r="O382" s="55"/>
      <c r="P382" s="55"/>
      <c r="Q382" s="57"/>
      <c r="R382" s="55"/>
      <c r="S382" s="58"/>
      <c r="T382" s="58"/>
      <c r="U382" s="55">
        <v>1</v>
      </c>
      <c r="V382" s="55"/>
      <c r="W382" s="55"/>
      <c r="X382" s="55"/>
      <c r="Y382" s="55"/>
      <c r="Z382" s="55"/>
      <c r="AA382" s="55"/>
      <c r="AB382" s="55"/>
      <c r="AC382" s="55"/>
      <c r="AD382" s="55"/>
      <c r="AE382" s="57"/>
      <c r="AF382" s="57"/>
      <c r="AG382" s="57"/>
      <c r="AH382" s="57"/>
      <c r="AI382" s="57"/>
      <c r="AJ382" s="57"/>
      <c r="AK382" s="57"/>
      <c r="AL382" s="59"/>
      <c r="AM382" s="57"/>
      <c r="AN382" s="57"/>
      <c r="AO382" s="55">
        <v>2</v>
      </c>
      <c r="AP382" s="55"/>
      <c r="AQ382" s="57"/>
      <c r="AR382" s="60"/>
      <c r="AS382" s="57"/>
      <c r="AT382" s="57"/>
      <c r="AU382" s="57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55"/>
      <c r="BG382" s="62"/>
      <c r="BH382" s="63">
        <f t="shared" ref="BH382:BH396" si="17">SUM(F382:BG382)</f>
        <v>3</v>
      </c>
      <c r="BI382" s="64">
        <v>2</v>
      </c>
      <c r="BJ382" s="62"/>
      <c r="BK382" s="62">
        <f>BH382-BI382</f>
        <v>1</v>
      </c>
      <c r="BL382" s="64"/>
      <c r="BM382" s="65"/>
      <c r="BN382" s="65"/>
      <c r="BO382" s="65"/>
    </row>
    <row r="383" spans="2:67" ht="18.95" customHeight="1">
      <c r="B383" s="51" t="s">
        <v>574</v>
      </c>
      <c r="C383" s="52" t="s">
        <v>74</v>
      </c>
      <c r="D383" s="53" t="s">
        <v>574</v>
      </c>
      <c r="E383" s="115" t="s">
        <v>575</v>
      </c>
      <c r="F383" s="66"/>
      <c r="G383" s="66"/>
      <c r="H383" s="66"/>
      <c r="I383" s="66"/>
      <c r="J383" s="66"/>
      <c r="K383" s="66"/>
      <c r="L383" s="66"/>
      <c r="M383" s="66"/>
      <c r="N383" s="67"/>
      <c r="O383" s="66"/>
      <c r="P383" s="66"/>
      <c r="Q383" s="66"/>
      <c r="R383" s="66"/>
      <c r="S383" s="66"/>
      <c r="T383" s="66"/>
      <c r="U383" s="66">
        <v>1</v>
      </c>
      <c r="V383" s="66"/>
      <c r="W383" s="66"/>
      <c r="X383" s="66"/>
      <c r="Y383" s="66"/>
      <c r="Z383" s="66"/>
      <c r="AA383" s="66"/>
      <c r="AB383" s="66">
        <v>1</v>
      </c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8"/>
      <c r="AS383" s="66"/>
      <c r="AT383" s="66"/>
      <c r="AU383" s="66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55"/>
      <c r="BG383" s="70"/>
      <c r="BH383" s="63">
        <f t="shared" si="17"/>
        <v>2</v>
      </c>
      <c r="BI383" s="63">
        <v>2</v>
      </c>
      <c r="BJ383" s="70"/>
      <c r="BK383" s="62">
        <f t="shared" ref="BK383:BK411" si="18">BH383-BI383</f>
        <v>0</v>
      </c>
      <c r="BL383" s="63"/>
      <c r="BM383" s="71"/>
      <c r="BN383" s="71"/>
      <c r="BO383" s="72"/>
    </row>
    <row r="384" spans="2:67" ht="18.75" customHeight="1">
      <c r="B384" s="51" t="s">
        <v>576</v>
      </c>
      <c r="C384" s="73" t="s">
        <v>74</v>
      </c>
      <c r="D384" s="53" t="s">
        <v>576</v>
      </c>
      <c r="E384" s="137" t="s">
        <v>577</v>
      </c>
      <c r="F384" s="66"/>
      <c r="G384" s="66"/>
      <c r="H384" s="66"/>
      <c r="I384" s="66"/>
      <c r="J384" s="66"/>
      <c r="K384" s="66"/>
      <c r="L384" s="66"/>
      <c r="M384" s="66"/>
      <c r="N384" s="67"/>
      <c r="O384" s="66"/>
      <c r="P384" s="66"/>
      <c r="Q384" s="66"/>
      <c r="R384" s="66"/>
      <c r="S384" s="66"/>
      <c r="T384" s="66">
        <v>5</v>
      </c>
      <c r="U384" s="66"/>
      <c r="V384" s="66"/>
      <c r="W384" s="66"/>
      <c r="X384" s="66"/>
      <c r="Y384" s="66"/>
      <c r="Z384" s="66"/>
      <c r="AA384" s="66"/>
      <c r="AB384" s="66"/>
      <c r="AC384" s="66"/>
      <c r="AD384" s="66">
        <v>1</v>
      </c>
      <c r="AE384" s="66"/>
      <c r="AF384" s="66"/>
      <c r="AG384" s="66"/>
      <c r="AH384" s="66"/>
      <c r="AI384" s="66">
        <v>1</v>
      </c>
      <c r="AJ384" s="66"/>
      <c r="AK384" s="66"/>
      <c r="AL384" s="66"/>
      <c r="AM384" s="66"/>
      <c r="AN384" s="66"/>
      <c r="AO384" s="66">
        <v>1</v>
      </c>
      <c r="AP384" s="66"/>
      <c r="AQ384" s="66">
        <v>1</v>
      </c>
      <c r="AR384" s="68"/>
      <c r="AS384" s="66"/>
      <c r="AT384" s="66"/>
      <c r="AU384" s="66"/>
      <c r="AV384" s="69"/>
      <c r="AW384" s="69">
        <v>1</v>
      </c>
      <c r="AX384" s="69"/>
      <c r="AY384" s="69"/>
      <c r="AZ384" s="69"/>
      <c r="BA384" s="69"/>
      <c r="BB384" s="69"/>
      <c r="BC384" s="69"/>
      <c r="BD384" s="69"/>
      <c r="BE384" s="69"/>
      <c r="BF384" s="55"/>
      <c r="BG384" s="70"/>
      <c r="BH384" s="63">
        <f t="shared" si="17"/>
        <v>10</v>
      </c>
      <c r="BI384" s="63">
        <v>10</v>
      </c>
      <c r="BJ384" s="70"/>
      <c r="BK384" s="62">
        <f t="shared" si="18"/>
        <v>0</v>
      </c>
      <c r="BL384" s="63"/>
      <c r="BM384" s="71"/>
      <c r="BN384" s="72"/>
      <c r="BO384" s="71"/>
    </row>
    <row r="385" spans="2:67" ht="18.75" customHeight="1">
      <c r="B385" s="51" t="s">
        <v>578</v>
      </c>
      <c r="C385" s="73" t="s">
        <v>74</v>
      </c>
      <c r="D385" s="53" t="s">
        <v>578</v>
      </c>
      <c r="E385" s="115" t="s">
        <v>579</v>
      </c>
      <c r="F385" s="66"/>
      <c r="G385" s="66"/>
      <c r="H385" s="66"/>
      <c r="I385" s="66"/>
      <c r="J385" s="66"/>
      <c r="K385" s="66">
        <v>2</v>
      </c>
      <c r="L385" s="66">
        <v>6</v>
      </c>
      <c r="M385" s="66">
        <v>14</v>
      </c>
      <c r="N385" s="67">
        <v>14</v>
      </c>
      <c r="O385" s="66"/>
      <c r="P385" s="66"/>
      <c r="Q385" s="66"/>
      <c r="R385" s="66"/>
      <c r="S385" s="66"/>
      <c r="T385" s="66"/>
      <c r="U385" s="66">
        <v>1</v>
      </c>
      <c r="V385" s="66">
        <v>1</v>
      </c>
      <c r="W385" s="66"/>
      <c r="X385" s="66">
        <v>2</v>
      </c>
      <c r="Y385" s="66"/>
      <c r="Z385" s="66"/>
      <c r="AA385" s="66"/>
      <c r="AB385" s="66">
        <v>1</v>
      </c>
      <c r="AC385" s="66"/>
      <c r="AD385" s="66">
        <v>1</v>
      </c>
      <c r="AE385" s="66">
        <v>1</v>
      </c>
      <c r="AF385" s="66"/>
      <c r="AG385" s="66">
        <v>1</v>
      </c>
      <c r="AH385" s="66"/>
      <c r="AI385" s="66"/>
      <c r="AJ385" s="66">
        <v>1</v>
      </c>
      <c r="AK385" s="66"/>
      <c r="AL385" s="66"/>
      <c r="AM385" s="66"/>
      <c r="AN385" s="66"/>
      <c r="AO385" s="66"/>
      <c r="AP385" s="66"/>
      <c r="AQ385" s="66"/>
      <c r="AR385" s="68"/>
      <c r="AS385" s="66">
        <v>1</v>
      </c>
      <c r="AT385" s="66"/>
      <c r="AU385" s="66"/>
      <c r="AV385" s="69"/>
      <c r="AW385" s="69"/>
      <c r="AX385" s="69"/>
      <c r="AY385" s="69"/>
      <c r="AZ385" s="69"/>
      <c r="BA385" s="69"/>
      <c r="BB385" s="69"/>
      <c r="BC385" s="69"/>
      <c r="BD385" s="69">
        <v>1</v>
      </c>
      <c r="BE385" s="69"/>
      <c r="BF385" s="55"/>
      <c r="BG385" s="70">
        <v>1</v>
      </c>
      <c r="BH385" s="63">
        <f t="shared" si="17"/>
        <v>48</v>
      </c>
      <c r="BI385" s="63">
        <v>48</v>
      </c>
      <c r="BJ385" s="70"/>
      <c r="BK385" s="62">
        <f t="shared" si="18"/>
        <v>0</v>
      </c>
      <c r="BL385" s="63"/>
      <c r="BM385" s="71"/>
      <c r="BN385" s="71"/>
      <c r="BO385" s="71"/>
    </row>
    <row r="386" spans="2:67" ht="18.75" customHeight="1">
      <c r="B386" s="51" t="s">
        <v>580</v>
      </c>
      <c r="C386" s="73" t="s">
        <v>74</v>
      </c>
      <c r="D386" s="53" t="s">
        <v>580</v>
      </c>
      <c r="E386" s="115" t="s">
        <v>581</v>
      </c>
      <c r="F386" s="66"/>
      <c r="G386" s="66"/>
      <c r="H386" s="66"/>
      <c r="I386" s="66"/>
      <c r="J386" s="66"/>
      <c r="K386" s="66"/>
      <c r="L386" s="66"/>
      <c r="M386" s="66"/>
      <c r="N386" s="67"/>
      <c r="O386" s="66"/>
      <c r="P386" s="66"/>
      <c r="Q386" s="66"/>
      <c r="R386" s="66"/>
      <c r="S386" s="66"/>
      <c r="T386" s="66">
        <v>1</v>
      </c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8"/>
      <c r="AS386" s="66"/>
      <c r="AT386" s="66"/>
      <c r="AU386" s="66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55"/>
      <c r="BG386" s="70"/>
      <c r="BH386" s="63">
        <f t="shared" si="17"/>
        <v>1</v>
      </c>
      <c r="BI386" s="63">
        <v>1</v>
      </c>
      <c r="BJ386" s="70"/>
      <c r="BK386" s="62">
        <f t="shared" si="18"/>
        <v>0</v>
      </c>
      <c r="BL386" s="63"/>
      <c r="BM386" s="71"/>
      <c r="BN386" s="71"/>
      <c r="BO386" s="71"/>
    </row>
    <row r="387" spans="2:67" ht="18.75" customHeight="1">
      <c r="B387" s="51" t="s">
        <v>582</v>
      </c>
      <c r="C387" s="73" t="s">
        <v>74</v>
      </c>
      <c r="D387" s="53" t="s">
        <v>582</v>
      </c>
      <c r="E387" s="137" t="s">
        <v>583</v>
      </c>
      <c r="F387" s="66"/>
      <c r="G387" s="66"/>
      <c r="H387" s="66"/>
      <c r="I387" s="66"/>
      <c r="J387" s="66"/>
      <c r="K387" s="66"/>
      <c r="L387" s="66"/>
      <c r="M387" s="66"/>
      <c r="N387" s="67">
        <v>3</v>
      </c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8"/>
      <c r="AS387" s="66"/>
      <c r="AT387" s="66"/>
      <c r="AU387" s="66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55"/>
      <c r="BG387" s="70"/>
      <c r="BH387" s="63">
        <f t="shared" si="17"/>
        <v>3</v>
      </c>
      <c r="BI387" s="63">
        <v>3</v>
      </c>
      <c r="BJ387" s="70"/>
      <c r="BK387" s="62">
        <f t="shared" si="18"/>
        <v>0</v>
      </c>
      <c r="BL387" s="63"/>
      <c r="BM387" s="71"/>
      <c r="BN387" s="71"/>
      <c r="BO387" s="71"/>
    </row>
    <row r="388" spans="2:67" ht="18.75" customHeight="1">
      <c r="B388" s="51" t="s">
        <v>584</v>
      </c>
      <c r="C388" s="73" t="s">
        <v>74</v>
      </c>
      <c r="D388" s="53" t="s">
        <v>584</v>
      </c>
      <c r="E388" s="115" t="s">
        <v>585</v>
      </c>
      <c r="F388" s="66"/>
      <c r="G388" s="66"/>
      <c r="H388" s="66"/>
      <c r="I388" s="66"/>
      <c r="J388" s="66"/>
      <c r="K388" s="66"/>
      <c r="L388" s="66"/>
      <c r="M388" s="66"/>
      <c r="N388" s="67">
        <v>1</v>
      </c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8"/>
      <c r="AS388" s="66"/>
      <c r="AT388" s="66"/>
      <c r="AU388" s="66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55"/>
      <c r="BG388" s="70"/>
      <c r="BH388" s="63">
        <f t="shared" si="17"/>
        <v>1</v>
      </c>
      <c r="BI388" s="63">
        <v>1</v>
      </c>
      <c r="BJ388" s="70"/>
      <c r="BK388" s="62">
        <f t="shared" si="18"/>
        <v>0</v>
      </c>
      <c r="BL388" s="63"/>
      <c r="BM388" s="71"/>
      <c r="BN388" s="71"/>
      <c r="BO388" s="71"/>
    </row>
    <row r="389" spans="2:67" ht="18.95" customHeight="1">
      <c r="B389" s="51" t="s">
        <v>586</v>
      </c>
      <c r="C389" s="73" t="s">
        <v>74</v>
      </c>
      <c r="D389" s="53" t="s">
        <v>586</v>
      </c>
      <c r="E389" s="137" t="s">
        <v>587</v>
      </c>
      <c r="F389" s="66"/>
      <c r="G389" s="66"/>
      <c r="H389" s="66"/>
      <c r="I389" s="66">
        <v>2</v>
      </c>
      <c r="J389" s="66"/>
      <c r="K389" s="66"/>
      <c r="L389" s="66"/>
      <c r="M389" s="66"/>
      <c r="N389" s="67"/>
      <c r="O389" s="66"/>
      <c r="P389" s="66"/>
      <c r="Q389" s="66">
        <v>2</v>
      </c>
      <c r="R389" s="66"/>
      <c r="S389" s="66"/>
      <c r="T389" s="66">
        <v>3</v>
      </c>
      <c r="U389" s="66"/>
      <c r="V389" s="66"/>
      <c r="W389" s="66">
        <v>2</v>
      </c>
      <c r="X389" s="66"/>
      <c r="Y389" s="66">
        <v>1</v>
      </c>
      <c r="Z389" s="66">
        <v>1</v>
      </c>
      <c r="AA389" s="66"/>
      <c r="AB389" s="66"/>
      <c r="AC389" s="66"/>
      <c r="AD389" s="66"/>
      <c r="AE389" s="66">
        <v>2</v>
      </c>
      <c r="AF389" s="66"/>
      <c r="AG389" s="66"/>
      <c r="AH389" s="66"/>
      <c r="AI389" s="66">
        <v>1</v>
      </c>
      <c r="AJ389" s="66">
        <v>2</v>
      </c>
      <c r="AK389" s="66"/>
      <c r="AL389" s="66"/>
      <c r="AM389" s="66"/>
      <c r="AN389" s="66"/>
      <c r="AO389" s="66"/>
      <c r="AP389" s="66"/>
      <c r="AQ389" s="66">
        <v>3</v>
      </c>
      <c r="AR389" s="68"/>
      <c r="AS389" s="66"/>
      <c r="AT389" s="66"/>
      <c r="AU389" s="66">
        <v>3</v>
      </c>
      <c r="AV389" s="69">
        <v>9</v>
      </c>
      <c r="AW389" s="69"/>
      <c r="AX389" s="69"/>
      <c r="AY389" s="69"/>
      <c r="AZ389" s="69"/>
      <c r="BA389" s="69"/>
      <c r="BB389" s="69"/>
      <c r="BC389" s="69"/>
      <c r="BD389" s="69">
        <v>3</v>
      </c>
      <c r="BE389" s="69"/>
      <c r="BF389" s="55"/>
      <c r="BG389" s="70">
        <v>1</v>
      </c>
      <c r="BH389" s="63">
        <f t="shared" si="17"/>
        <v>35</v>
      </c>
      <c r="BI389" s="63">
        <v>50</v>
      </c>
      <c r="BJ389" s="70"/>
      <c r="BK389" s="62">
        <f t="shared" si="18"/>
        <v>-15</v>
      </c>
      <c r="BL389" s="63"/>
      <c r="BM389" s="71"/>
      <c r="BN389" s="71"/>
      <c r="BO389" s="71"/>
    </row>
    <row r="390" spans="2:67" ht="18.75" customHeight="1">
      <c r="B390" s="51" t="s">
        <v>588</v>
      </c>
      <c r="C390" s="73" t="s">
        <v>74</v>
      </c>
      <c r="D390" s="53" t="s">
        <v>588</v>
      </c>
      <c r="E390" s="115" t="s">
        <v>589</v>
      </c>
      <c r="F390" s="66">
        <v>10</v>
      </c>
      <c r="G390" s="66">
        <v>10</v>
      </c>
      <c r="H390" s="66">
        <v>10</v>
      </c>
      <c r="I390" s="66">
        <v>10</v>
      </c>
      <c r="J390" s="66">
        <v>10</v>
      </c>
      <c r="K390" s="66"/>
      <c r="L390" s="66"/>
      <c r="M390" s="66"/>
      <c r="N390" s="67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8"/>
      <c r="AS390" s="66"/>
      <c r="AT390" s="66"/>
      <c r="AU390" s="66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55"/>
      <c r="BG390" s="70"/>
      <c r="BH390" s="63">
        <f t="shared" si="17"/>
        <v>50</v>
      </c>
      <c r="BI390" s="63">
        <v>50</v>
      </c>
      <c r="BJ390" s="70"/>
      <c r="BK390" s="62">
        <f t="shared" si="18"/>
        <v>0</v>
      </c>
      <c r="BL390" s="63"/>
      <c r="BM390" s="71"/>
      <c r="BN390" s="71"/>
      <c r="BO390" s="71"/>
    </row>
    <row r="391" spans="2:67" ht="18.75" customHeight="1">
      <c r="B391" s="51" t="s">
        <v>590</v>
      </c>
      <c r="C391" s="73" t="s">
        <v>74</v>
      </c>
      <c r="D391" s="53" t="s">
        <v>590</v>
      </c>
      <c r="E391" s="137" t="s">
        <v>591</v>
      </c>
      <c r="F391" s="66"/>
      <c r="G391" s="66"/>
      <c r="H391" s="66"/>
      <c r="I391" s="66"/>
      <c r="J391" s="66"/>
      <c r="K391" s="66"/>
      <c r="L391" s="66"/>
      <c r="M391" s="66"/>
      <c r="N391" s="67"/>
      <c r="O391" s="66"/>
      <c r="P391" s="66">
        <v>10</v>
      </c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8"/>
      <c r="AS391" s="66"/>
      <c r="AT391" s="66"/>
      <c r="AU391" s="66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55"/>
      <c r="BG391" s="70"/>
      <c r="BH391" s="63">
        <f t="shared" si="17"/>
        <v>10</v>
      </c>
      <c r="BI391" s="63">
        <v>10</v>
      </c>
      <c r="BJ391" s="70"/>
      <c r="BK391" s="62">
        <f t="shared" si="18"/>
        <v>0</v>
      </c>
      <c r="BL391" s="63"/>
      <c r="BM391" s="71"/>
      <c r="BN391" s="71"/>
      <c r="BO391" s="71"/>
    </row>
    <row r="392" spans="2:67" ht="18.75" customHeight="1">
      <c r="B392" s="51" t="s">
        <v>592</v>
      </c>
      <c r="C392" s="73" t="s">
        <v>74</v>
      </c>
      <c r="D392" s="53" t="s">
        <v>592</v>
      </c>
      <c r="E392" s="115" t="s">
        <v>593</v>
      </c>
      <c r="F392" s="66">
        <v>1</v>
      </c>
      <c r="G392" s="66">
        <v>1</v>
      </c>
      <c r="H392" s="66">
        <v>1</v>
      </c>
      <c r="I392" s="66">
        <v>1</v>
      </c>
      <c r="J392" s="66">
        <v>1</v>
      </c>
      <c r="K392" s="66"/>
      <c r="L392" s="66"/>
      <c r="M392" s="66"/>
      <c r="N392" s="67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8"/>
      <c r="AS392" s="66"/>
      <c r="AT392" s="66"/>
      <c r="AU392" s="66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55"/>
      <c r="BG392" s="70"/>
      <c r="BH392" s="63">
        <f t="shared" si="17"/>
        <v>5</v>
      </c>
      <c r="BI392" s="63">
        <v>5</v>
      </c>
      <c r="BJ392" s="70"/>
      <c r="BK392" s="62">
        <f t="shared" si="18"/>
        <v>0</v>
      </c>
      <c r="BL392" s="63"/>
      <c r="BM392" s="71"/>
      <c r="BN392" s="71"/>
      <c r="BO392" s="71"/>
    </row>
    <row r="393" spans="2:67" ht="18.75" customHeight="1">
      <c r="B393" s="51" t="s">
        <v>594</v>
      </c>
      <c r="C393" s="73" t="s">
        <v>74</v>
      </c>
      <c r="D393" s="53" t="s">
        <v>594</v>
      </c>
      <c r="E393" s="137" t="s">
        <v>595</v>
      </c>
      <c r="F393" s="66"/>
      <c r="G393" s="66"/>
      <c r="H393" s="66"/>
      <c r="I393" s="66"/>
      <c r="J393" s="66"/>
      <c r="K393" s="66"/>
      <c r="L393" s="66"/>
      <c r="M393" s="66"/>
      <c r="N393" s="67"/>
      <c r="O393" s="66"/>
      <c r="P393" s="66"/>
      <c r="Q393" s="66"/>
      <c r="R393" s="66"/>
      <c r="S393" s="66"/>
      <c r="T393" s="66"/>
      <c r="U393" s="66">
        <v>1</v>
      </c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8"/>
      <c r="AS393" s="66"/>
      <c r="AT393" s="66"/>
      <c r="AU393" s="66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55"/>
      <c r="BG393" s="70"/>
      <c r="BH393" s="63">
        <f t="shared" si="17"/>
        <v>1</v>
      </c>
      <c r="BI393" s="63">
        <v>1</v>
      </c>
      <c r="BJ393" s="70"/>
      <c r="BK393" s="62">
        <f t="shared" si="18"/>
        <v>0</v>
      </c>
      <c r="BL393" s="63"/>
      <c r="BM393" s="71"/>
      <c r="BN393" s="71"/>
      <c r="BO393" s="71"/>
    </row>
    <row r="394" spans="2:67" ht="18.75" customHeight="1">
      <c r="B394" s="51" t="s">
        <v>596</v>
      </c>
      <c r="C394" s="73" t="s">
        <v>74</v>
      </c>
      <c r="D394" s="53" t="s">
        <v>596</v>
      </c>
      <c r="E394" s="115" t="s">
        <v>597</v>
      </c>
      <c r="F394" s="66"/>
      <c r="G394" s="66"/>
      <c r="H394" s="66"/>
      <c r="I394" s="66"/>
      <c r="J394" s="66"/>
      <c r="K394" s="66"/>
      <c r="L394" s="66"/>
      <c r="M394" s="66"/>
      <c r="N394" s="67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8"/>
      <c r="AS394" s="66"/>
      <c r="AT394" s="66"/>
      <c r="AU394" s="66"/>
      <c r="AV394" s="69"/>
      <c r="AW394" s="69">
        <v>1</v>
      </c>
      <c r="AX394" s="69"/>
      <c r="AY394" s="69"/>
      <c r="AZ394" s="69"/>
      <c r="BA394" s="69"/>
      <c r="BB394" s="69"/>
      <c r="BC394" s="69"/>
      <c r="BD394" s="69"/>
      <c r="BE394" s="69"/>
      <c r="BF394" s="55"/>
      <c r="BG394" s="70"/>
      <c r="BH394" s="63">
        <f t="shared" si="17"/>
        <v>1</v>
      </c>
      <c r="BI394" s="63">
        <v>1</v>
      </c>
      <c r="BJ394" s="70"/>
      <c r="BK394" s="62">
        <f t="shared" si="18"/>
        <v>0</v>
      </c>
      <c r="BL394" s="63"/>
      <c r="BM394" s="71"/>
      <c r="BN394" s="71"/>
      <c r="BO394" s="71"/>
    </row>
    <row r="395" spans="2:67" ht="18.75" customHeight="1">
      <c r="B395" s="51" t="s">
        <v>598</v>
      </c>
      <c r="C395" s="73" t="s">
        <v>74</v>
      </c>
      <c r="D395" s="53" t="s">
        <v>598</v>
      </c>
      <c r="E395" s="137" t="s">
        <v>599</v>
      </c>
      <c r="F395" s="66">
        <v>1</v>
      </c>
      <c r="G395" s="66">
        <v>1</v>
      </c>
      <c r="H395" s="66">
        <v>1</v>
      </c>
      <c r="I395" s="66">
        <v>1</v>
      </c>
      <c r="J395" s="66">
        <v>1</v>
      </c>
      <c r="K395" s="66"/>
      <c r="L395" s="66"/>
      <c r="M395" s="66"/>
      <c r="N395" s="67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8"/>
      <c r="AS395" s="66"/>
      <c r="AT395" s="66"/>
      <c r="AU395" s="66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55"/>
      <c r="BG395" s="70"/>
      <c r="BH395" s="63">
        <f t="shared" si="17"/>
        <v>5</v>
      </c>
      <c r="BI395" s="63">
        <v>5</v>
      </c>
      <c r="BJ395" s="70"/>
      <c r="BK395" s="62">
        <f t="shared" si="18"/>
        <v>0</v>
      </c>
      <c r="BL395" s="63"/>
      <c r="BM395" s="71"/>
      <c r="BN395" s="71"/>
      <c r="BO395" s="71"/>
    </row>
    <row r="396" spans="2:67" ht="18.95" customHeight="1">
      <c r="B396" s="51" t="s">
        <v>600</v>
      </c>
      <c r="C396" s="73" t="s">
        <v>74</v>
      </c>
      <c r="D396" s="53" t="s">
        <v>600</v>
      </c>
      <c r="E396" s="115" t="s">
        <v>601</v>
      </c>
      <c r="F396" s="66"/>
      <c r="G396" s="66"/>
      <c r="H396" s="66"/>
      <c r="I396" s="66"/>
      <c r="J396" s="66"/>
      <c r="K396" s="66"/>
      <c r="L396" s="66"/>
      <c r="M396" s="66"/>
      <c r="N396" s="67"/>
      <c r="O396" s="66"/>
      <c r="P396" s="66">
        <v>1</v>
      </c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8"/>
      <c r="AS396" s="66"/>
      <c r="AT396" s="66"/>
      <c r="AU396" s="66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55"/>
      <c r="BG396" s="70"/>
      <c r="BH396" s="63">
        <f t="shared" si="17"/>
        <v>1</v>
      </c>
      <c r="BI396" s="63">
        <v>1</v>
      </c>
      <c r="BJ396" s="70"/>
      <c r="BK396" s="62">
        <f t="shared" si="18"/>
        <v>0</v>
      </c>
      <c r="BL396" s="63"/>
      <c r="BM396" s="71"/>
      <c r="BN396" s="71"/>
      <c r="BO396" s="71"/>
    </row>
    <row r="397" spans="2:67" ht="18.95" customHeight="1">
      <c r="B397" s="51" t="s">
        <v>602</v>
      </c>
      <c r="C397" s="73" t="s">
        <v>74</v>
      </c>
      <c r="D397" s="53" t="s">
        <v>602</v>
      </c>
      <c r="E397" s="137" t="s">
        <v>603</v>
      </c>
      <c r="F397" s="66"/>
      <c r="G397" s="66"/>
      <c r="H397" s="66"/>
      <c r="I397" s="66"/>
      <c r="J397" s="66"/>
      <c r="K397" s="66"/>
      <c r="L397" s="66"/>
      <c r="M397" s="66"/>
      <c r="N397" s="67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8"/>
      <c r="AS397" s="66"/>
      <c r="AT397" s="66"/>
      <c r="AU397" s="66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55"/>
      <c r="BG397" s="70"/>
      <c r="BH397" s="63">
        <v>5</v>
      </c>
      <c r="BI397" s="63">
        <v>5</v>
      </c>
      <c r="BJ397" s="70"/>
      <c r="BK397" s="62">
        <f t="shared" si="18"/>
        <v>0</v>
      </c>
      <c r="BL397" s="63"/>
      <c r="BM397" s="71"/>
      <c r="BN397" s="71"/>
      <c r="BO397" s="71"/>
    </row>
    <row r="398" spans="2:67" ht="18.95" customHeight="1">
      <c r="B398" s="51" t="s">
        <v>604</v>
      </c>
      <c r="C398" s="52" t="s">
        <v>74</v>
      </c>
      <c r="D398" s="53" t="s">
        <v>604</v>
      </c>
      <c r="E398" s="115" t="s">
        <v>605</v>
      </c>
      <c r="F398" s="66"/>
      <c r="G398" s="66"/>
      <c r="H398" s="66"/>
      <c r="I398" s="66"/>
      <c r="J398" s="66"/>
      <c r="K398" s="66"/>
      <c r="L398" s="66"/>
      <c r="M398" s="66"/>
      <c r="N398" s="67"/>
      <c r="O398" s="66"/>
      <c r="P398" s="66"/>
      <c r="Q398" s="66">
        <v>170</v>
      </c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8"/>
      <c r="AS398" s="66"/>
      <c r="AT398" s="66"/>
      <c r="AU398" s="66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55"/>
      <c r="BG398" s="70"/>
      <c r="BH398" s="63">
        <f t="shared" ref="BH398:BH403" si="19">SUM(F398:BG398)</f>
        <v>170</v>
      </c>
      <c r="BI398" s="63">
        <v>170</v>
      </c>
      <c r="BJ398" s="70"/>
      <c r="BK398" s="62">
        <f t="shared" si="18"/>
        <v>0</v>
      </c>
      <c r="BL398" s="63"/>
      <c r="BM398" s="71"/>
      <c r="BN398" s="71"/>
      <c r="BO398" s="71"/>
    </row>
    <row r="399" spans="2:67" ht="18.95" customHeight="1">
      <c r="B399" s="51" t="s">
        <v>606</v>
      </c>
      <c r="C399" s="73" t="s">
        <v>74</v>
      </c>
      <c r="D399" s="53" t="s">
        <v>606</v>
      </c>
      <c r="E399" s="137" t="s">
        <v>607</v>
      </c>
      <c r="F399" s="66"/>
      <c r="G399" s="66"/>
      <c r="H399" s="66"/>
      <c r="I399" s="66"/>
      <c r="J399" s="66"/>
      <c r="K399" s="66"/>
      <c r="L399" s="66"/>
      <c r="M399" s="66"/>
      <c r="N399" s="67"/>
      <c r="O399" s="66"/>
      <c r="P399" s="66"/>
      <c r="Q399" s="66">
        <v>22</v>
      </c>
      <c r="R399" s="66"/>
      <c r="S399" s="66">
        <v>4</v>
      </c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8"/>
      <c r="AS399" s="66"/>
      <c r="AT399" s="66"/>
      <c r="AU399" s="66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55"/>
      <c r="BG399" s="70"/>
      <c r="BH399" s="63">
        <f t="shared" si="19"/>
        <v>26</v>
      </c>
      <c r="BI399" s="63">
        <v>26</v>
      </c>
      <c r="BJ399" s="70"/>
      <c r="BK399" s="62">
        <f t="shared" si="18"/>
        <v>0</v>
      </c>
      <c r="BL399" s="63"/>
      <c r="BM399" s="71"/>
      <c r="BN399" s="71"/>
      <c r="BO399" s="71"/>
    </row>
    <row r="400" spans="2:67" ht="18.75" customHeight="1">
      <c r="B400" s="51" t="s">
        <v>608</v>
      </c>
      <c r="C400" s="73" t="s">
        <v>74</v>
      </c>
      <c r="D400" s="53" t="s">
        <v>608</v>
      </c>
      <c r="E400" s="115" t="s">
        <v>609</v>
      </c>
      <c r="F400" s="66"/>
      <c r="G400" s="66"/>
      <c r="H400" s="66"/>
      <c r="I400" s="66"/>
      <c r="J400" s="66"/>
      <c r="K400" s="66"/>
      <c r="L400" s="66"/>
      <c r="M400" s="66"/>
      <c r="N400" s="67"/>
      <c r="O400" s="66"/>
      <c r="P400" s="66"/>
      <c r="Q400" s="66">
        <v>78</v>
      </c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8"/>
      <c r="AS400" s="66"/>
      <c r="AT400" s="66"/>
      <c r="AU400" s="66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55"/>
      <c r="BG400" s="70"/>
      <c r="BH400" s="63">
        <f t="shared" si="19"/>
        <v>78</v>
      </c>
      <c r="BI400" s="63">
        <v>78</v>
      </c>
      <c r="BJ400" s="70"/>
      <c r="BK400" s="62">
        <f t="shared" si="18"/>
        <v>0</v>
      </c>
      <c r="BL400" s="63"/>
      <c r="BM400" s="71"/>
      <c r="BN400" s="71"/>
      <c r="BO400" s="71"/>
    </row>
    <row r="401" spans="2:67" ht="18.95" customHeight="1">
      <c r="B401" s="51" t="s">
        <v>610</v>
      </c>
      <c r="C401" s="73" t="s">
        <v>74</v>
      </c>
      <c r="D401" s="53" t="s">
        <v>610</v>
      </c>
      <c r="E401" s="137" t="s">
        <v>611</v>
      </c>
      <c r="F401" s="66"/>
      <c r="G401" s="66"/>
      <c r="H401" s="66"/>
      <c r="I401" s="66"/>
      <c r="J401" s="66"/>
      <c r="K401" s="66"/>
      <c r="L401" s="66"/>
      <c r="M401" s="66"/>
      <c r="N401" s="67"/>
      <c r="O401" s="66"/>
      <c r="P401" s="66">
        <v>1</v>
      </c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8"/>
      <c r="AS401" s="66"/>
      <c r="AT401" s="66"/>
      <c r="AU401" s="66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55"/>
      <c r="BG401" s="70"/>
      <c r="BH401" s="63">
        <f t="shared" si="19"/>
        <v>1</v>
      </c>
      <c r="BI401" s="63">
        <v>1</v>
      </c>
      <c r="BJ401" s="70"/>
      <c r="BK401" s="62">
        <f t="shared" si="18"/>
        <v>0</v>
      </c>
      <c r="BL401" s="63"/>
      <c r="BM401" s="71"/>
      <c r="BN401" s="71"/>
      <c r="BO401" s="71"/>
    </row>
    <row r="402" spans="2:67" ht="18.75" customHeight="1">
      <c r="B402" s="51" t="s">
        <v>612</v>
      </c>
      <c r="C402" s="73" t="s">
        <v>74</v>
      </c>
      <c r="D402" s="53" t="s">
        <v>612</v>
      </c>
      <c r="E402" s="115" t="s">
        <v>613</v>
      </c>
      <c r="F402" s="66"/>
      <c r="G402" s="66"/>
      <c r="H402" s="66">
        <v>1</v>
      </c>
      <c r="I402" s="66"/>
      <c r="J402" s="66"/>
      <c r="K402" s="66"/>
      <c r="L402" s="66"/>
      <c r="M402" s="66"/>
      <c r="N402" s="67"/>
      <c r="O402" s="66">
        <v>1</v>
      </c>
      <c r="P402" s="66"/>
      <c r="Q402" s="66">
        <v>3</v>
      </c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8"/>
      <c r="AS402" s="66"/>
      <c r="AT402" s="66"/>
      <c r="AU402" s="66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55"/>
      <c r="BG402" s="70"/>
      <c r="BH402" s="63">
        <f t="shared" si="19"/>
        <v>5</v>
      </c>
      <c r="BI402" s="63">
        <v>5</v>
      </c>
      <c r="BJ402" s="70"/>
      <c r="BK402" s="62">
        <f t="shared" si="18"/>
        <v>0</v>
      </c>
      <c r="BL402" s="63"/>
      <c r="BM402" s="71"/>
      <c r="BN402" s="71"/>
      <c r="BO402" s="71"/>
    </row>
    <row r="403" spans="2:67" ht="18.95" customHeight="1">
      <c r="B403" s="51" t="s">
        <v>614</v>
      </c>
      <c r="C403" s="73" t="s">
        <v>74</v>
      </c>
      <c r="D403" s="53" t="s">
        <v>614</v>
      </c>
      <c r="E403" s="137" t="s">
        <v>615</v>
      </c>
      <c r="F403" s="66">
        <v>1</v>
      </c>
      <c r="G403" s="66">
        <v>1</v>
      </c>
      <c r="H403" s="66"/>
      <c r="I403" s="66"/>
      <c r="J403" s="66"/>
      <c r="K403" s="66"/>
      <c r="L403" s="66">
        <v>1</v>
      </c>
      <c r="M403" s="66">
        <v>1</v>
      </c>
      <c r="N403" s="67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8"/>
      <c r="AS403" s="66"/>
      <c r="AT403" s="66"/>
      <c r="AU403" s="66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55"/>
      <c r="BG403" s="70"/>
      <c r="BH403" s="63">
        <f t="shared" si="19"/>
        <v>4</v>
      </c>
      <c r="BI403" s="63">
        <v>5</v>
      </c>
      <c r="BJ403" s="70"/>
      <c r="BK403" s="62">
        <f t="shared" si="18"/>
        <v>-1</v>
      </c>
      <c r="BL403" s="63"/>
      <c r="BM403" s="71"/>
      <c r="BN403" s="71"/>
      <c r="BO403" s="71"/>
    </row>
    <row r="404" spans="2:67" ht="18.95" customHeight="1">
      <c r="B404" s="51" t="s">
        <v>616</v>
      </c>
      <c r="C404" s="73" t="s">
        <v>74</v>
      </c>
      <c r="D404" s="53" t="s">
        <v>616</v>
      </c>
      <c r="E404" s="115" t="s">
        <v>617</v>
      </c>
      <c r="F404" s="66"/>
      <c r="G404" s="66"/>
      <c r="H404" s="66"/>
      <c r="I404" s="66">
        <v>1</v>
      </c>
      <c r="J404" s="66">
        <v>1</v>
      </c>
      <c r="K404" s="66">
        <v>1</v>
      </c>
      <c r="L404" s="66"/>
      <c r="M404" s="66"/>
      <c r="N404" s="67"/>
      <c r="O404" s="66"/>
      <c r="P404" s="66"/>
      <c r="Q404" s="66">
        <v>6</v>
      </c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8"/>
      <c r="AS404" s="66"/>
      <c r="AT404" s="66"/>
      <c r="AU404" s="66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57"/>
      <c r="BG404" s="63"/>
      <c r="BH404" s="63">
        <v>8</v>
      </c>
      <c r="BI404" s="63">
        <v>11</v>
      </c>
      <c r="BJ404" s="70"/>
      <c r="BK404" s="62">
        <f t="shared" si="18"/>
        <v>-3</v>
      </c>
      <c r="BL404" s="63"/>
      <c r="BM404" s="71"/>
      <c r="BN404" s="71"/>
      <c r="BO404" s="71"/>
    </row>
    <row r="405" spans="2:67" ht="18.75" customHeight="1">
      <c r="B405" s="51" t="s">
        <v>618</v>
      </c>
      <c r="C405" s="73" t="s">
        <v>74</v>
      </c>
      <c r="D405" s="53" t="s">
        <v>618</v>
      </c>
      <c r="E405" s="115" t="s">
        <v>619</v>
      </c>
      <c r="F405" s="66"/>
      <c r="G405" s="66"/>
      <c r="H405" s="66"/>
      <c r="I405" s="66"/>
      <c r="J405" s="66"/>
      <c r="K405" s="66"/>
      <c r="L405" s="66"/>
      <c r="M405" s="66"/>
      <c r="N405" s="67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>
        <v>1</v>
      </c>
      <c r="AO405" s="66"/>
      <c r="AP405" s="66"/>
      <c r="AQ405" s="66"/>
      <c r="AR405" s="68"/>
      <c r="AS405" s="66"/>
      <c r="AT405" s="66"/>
      <c r="AU405" s="66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55"/>
      <c r="BG405" s="70"/>
      <c r="BH405" s="63">
        <f t="shared" ref="BH405:BH411" si="20">SUM(F405:BG405)</f>
        <v>1</v>
      </c>
      <c r="BI405" s="63">
        <v>3</v>
      </c>
      <c r="BJ405" s="70"/>
      <c r="BK405" s="62">
        <f t="shared" si="18"/>
        <v>-2</v>
      </c>
      <c r="BL405" s="63"/>
      <c r="BM405" s="71"/>
      <c r="BN405" s="71"/>
      <c r="BO405" s="71"/>
    </row>
    <row r="406" spans="2:67" ht="18.75" customHeight="1">
      <c r="B406" s="51" t="s">
        <v>620</v>
      </c>
      <c r="C406" s="73" t="s">
        <v>74</v>
      </c>
      <c r="D406" s="53" t="s">
        <v>620</v>
      </c>
      <c r="E406" s="114" t="s">
        <v>621</v>
      </c>
      <c r="F406" s="66"/>
      <c r="G406" s="66"/>
      <c r="H406" s="66"/>
      <c r="I406" s="66"/>
      <c r="J406" s="66"/>
      <c r="K406" s="66"/>
      <c r="L406" s="66"/>
      <c r="M406" s="66"/>
      <c r="N406" s="67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75"/>
      <c r="AM406" s="66"/>
      <c r="AN406" s="66"/>
      <c r="AO406" s="66"/>
      <c r="AP406" s="66"/>
      <c r="AQ406" s="66"/>
      <c r="AR406" s="68"/>
      <c r="AS406" s="66"/>
      <c r="AT406" s="66"/>
      <c r="AU406" s="66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55"/>
      <c r="BG406" s="70"/>
      <c r="BH406" s="63">
        <f t="shared" si="20"/>
        <v>0</v>
      </c>
      <c r="BI406" s="63">
        <v>3</v>
      </c>
      <c r="BJ406" s="70"/>
      <c r="BK406" s="62">
        <f t="shared" si="18"/>
        <v>-3</v>
      </c>
      <c r="BL406" s="63"/>
      <c r="BM406" s="71"/>
      <c r="BN406" s="71"/>
      <c r="BO406" s="71"/>
    </row>
    <row r="407" spans="2:67" ht="18.75" customHeight="1">
      <c r="B407" s="51" t="s">
        <v>622</v>
      </c>
      <c r="C407" s="73" t="s">
        <v>74</v>
      </c>
      <c r="D407" s="53" t="s">
        <v>622</v>
      </c>
      <c r="E407" s="115" t="s">
        <v>623</v>
      </c>
      <c r="F407" s="66"/>
      <c r="G407" s="66"/>
      <c r="H407" s="66"/>
      <c r="I407" s="66"/>
      <c r="J407" s="66"/>
      <c r="K407" s="66"/>
      <c r="L407" s="66"/>
      <c r="M407" s="66"/>
      <c r="N407" s="67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>
        <v>1</v>
      </c>
      <c r="AC407" s="66"/>
      <c r="AD407" s="66"/>
      <c r="AE407" s="66"/>
      <c r="AF407" s="66"/>
      <c r="AG407" s="66"/>
      <c r="AH407" s="66"/>
      <c r="AI407" s="66"/>
      <c r="AJ407" s="66"/>
      <c r="AK407" s="66"/>
      <c r="AL407" s="75"/>
      <c r="AM407" s="66"/>
      <c r="AN407" s="66"/>
      <c r="AO407" s="66"/>
      <c r="AP407" s="66"/>
      <c r="AQ407" s="66">
        <v>1</v>
      </c>
      <c r="AR407" s="68"/>
      <c r="AS407" s="66"/>
      <c r="AT407" s="66"/>
      <c r="AU407" s="66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55"/>
      <c r="BG407" s="70"/>
      <c r="BH407" s="63">
        <f t="shared" si="20"/>
        <v>2</v>
      </c>
      <c r="BI407" s="63">
        <v>2</v>
      </c>
      <c r="BJ407" s="70"/>
      <c r="BK407" s="62">
        <f t="shared" si="18"/>
        <v>0</v>
      </c>
      <c r="BL407" s="63"/>
      <c r="BM407" s="71"/>
      <c r="BN407" s="71"/>
      <c r="BO407" s="71"/>
    </row>
    <row r="408" spans="2:67" ht="18.95" customHeight="1">
      <c r="B408" s="51" t="s">
        <v>624</v>
      </c>
      <c r="C408" s="73" t="s">
        <v>74</v>
      </c>
      <c r="D408" s="53" t="s">
        <v>624</v>
      </c>
      <c r="E408" s="115" t="s">
        <v>625</v>
      </c>
      <c r="F408" s="66"/>
      <c r="G408" s="66"/>
      <c r="H408" s="66"/>
      <c r="I408" s="66"/>
      <c r="J408" s="66"/>
      <c r="K408" s="66"/>
      <c r="L408" s="66"/>
      <c r="M408" s="66"/>
      <c r="N408" s="67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>
        <v>1</v>
      </c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8"/>
      <c r="AS408" s="66"/>
      <c r="AT408" s="66">
        <v>1</v>
      </c>
      <c r="AU408" s="66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55"/>
      <c r="BG408" s="70"/>
      <c r="BH408" s="63">
        <f t="shared" si="20"/>
        <v>2</v>
      </c>
      <c r="BI408" s="63">
        <v>2</v>
      </c>
      <c r="BJ408" s="70"/>
      <c r="BK408" s="62">
        <f t="shared" si="18"/>
        <v>0</v>
      </c>
      <c r="BL408" s="63"/>
      <c r="BM408" s="71"/>
      <c r="BN408" s="65"/>
      <c r="BO408" s="65"/>
    </row>
    <row r="409" spans="2:67" ht="18.95" customHeight="1">
      <c r="B409" s="51" t="s">
        <v>626</v>
      </c>
      <c r="C409" s="73" t="s">
        <v>74</v>
      </c>
      <c r="D409" s="53" t="s">
        <v>626</v>
      </c>
      <c r="E409" s="115" t="s">
        <v>627</v>
      </c>
      <c r="F409" s="55"/>
      <c r="G409" s="66"/>
      <c r="H409" s="66"/>
      <c r="I409" s="66"/>
      <c r="J409" s="66"/>
      <c r="K409" s="66"/>
      <c r="L409" s="66"/>
      <c r="M409" s="66"/>
      <c r="N409" s="67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75"/>
      <c r="AM409" s="66"/>
      <c r="AN409" s="66"/>
      <c r="AO409" s="66"/>
      <c r="AP409" s="66"/>
      <c r="AQ409" s="66"/>
      <c r="AR409" s="68"/>
      <c r="AS409" s="66"/>
      <c r="AT409" s="66"/>
      <c r="AU409" s="66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55"/>
      <c r="BG409" s="70"/>
      <c r="BH409" s="63">
        <f t="shared" si="20"/>
        <v>0</v>
      </c>
      <c r="BI409" s="63">
        <v>2</v>
      </c>
      <c r="BJ409" s="70"/>
      <c r="BK409" s="62">
        <f t="shared" si="18"/>
        <v>-2</v>
      </c>
      <c r="BL409" s="63"/>
      <c r="BM409" s="71"/>
      <c r="BN409" s="65"/>
      <c r="BO409" s="65"/>
    </row>
    <row r="410" spans="2:67" ht="18.95" customHeight="1">
      <c r="B410" s="51" t="s">
        <v>628</v>
      </c>
      <c r="C410" s="73" t="s">
        <v>74</v>
      </c>
      <c r="D410" s="53" t="s">
        <v>628</v>
      </c>
      <c r="E410" s="115" t="s">
        <v>629</v>
      </c>
      <c r="F410" s="66"/>
      <c r="G410" s="66"/>
      <c r="H410" s="66"/>
      <c r="I410" s="66"/>
      <c r="J410" s="66"/>
      <c r="K410" s="66"/>
      <c r="L410" s="66"/>
      <c r="M410" s="66"/>
      <c r="N410" s="67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>
        <v>1</v>
      </c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8"/>
      <c r="AS410" s="66"/>
      <c r="AT410" s="66"/>
      <c r="AU410" s="66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55"/>
      <c r="BG410" s="70"/>
      <c r="BH410" s="63">
        <f t="shared" si="20"/>
        <v>1</v>
      </c>
      <c r="BI410" s="63">
        <v>1</v>
      </c>
      <c r="BJ410" s="70"/>
      <c r="BK410" s="62">
        <f t="shared" si="18"/>
        <v>0</v>
      </c>
      <c r="BL410" s="63"/>
      <c r="BM410" s="71"/>
      <c r="BN410" s="71"/>
      <c r="BO410" s="71"/>
    </row>
    <row r="411" spans="2:67" ht="18.95" customHeight="1">
      <c r="B411" s="51" t="s">
        <v>630</v>
      </c>
      <c r="C411" s="73" t="s">
        <v>74</v>
      </c>
      <c r="D411" s="53" t="s">
        <v>630</v>
      </c>
      <c r="E411" s="115" t="s">
        <v>631</v>
      </c>
      <c r="F411" s="55"/>
      <c r="G411" s="55"/>
      <c r="H411" s="55"/>
      <c r="I411" s="55"/>
      <c r="J411" s="55"/>
      <c r="K411" s="55"/>
      <c r="L411" s="55"/>
      <c r="M411" s="55"/>
      <c r="N411" s="56">
        <v>2</v>
      </c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76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70"/>
      <c r="BH411" s="63">
        <f t="shared" si="20"/>
        <v>2</v>
      </c>
      <c r="BI411" s="63">
        <v>2</v>
      </c>
      <c r="BJ411" s="70"/>
      <c r="BK411" s="62">
        <f t="shared" si="18"/>
        <v>0</v>
      </c>
      <c r="BL411" s="63"/>
      <c r="BM411" s="71"/>
      <c r="BN411" s="65"/>
      <c r="BO411" s="65"/>
    </row>
    <row r="412" spans="2:67">
      <c r="B412" s="87"/>
      <c r="C412" s="87"/>
      <c r="D412" s="87"/>
      <c r="E412" s="87"/>
    </row>
    <row r="413" spans="2:67">
      <c r="B413" s="87"/>
      <c r="C413" s="87"/>
      <c r="D413" s="87"/>
      <c r="E413" s="87"/>
    </row>
    <row r="414" spans="2:67">
      <c r="B414" s="87"/>
      <c r="C414" s="87"/>
      <c r="D414" s="87"/>
      <c r="E414" s="87"/>
    </row>
    <row r="415" spans="2:67">
      <c r="B415" s="87"/>
      <c r="C415" s="87"/>
      <c r="D415" s="87"/>
      <c r="E415" s="87"/>
    </row>
    <row r="416" spans="2:67">
      <c r="B416" s="87"/>
      <c r="C416" s="87"/>
      <c r="D416" s="87"/>
      <c r="E416" s="87"/>
    </row>
    <row r="417" spans="2:67">
      <c r="B417" s="87"/>
      <c r="C417" s="87"/>
      <c r="D417" s="87"/>
      <c r="E417" s="87"/>
    </row>
    <row r="418" spans="2:67">
      <c r="B418" s="87"/>
      <c r="C418" s="87"/>
      <c r="D418" s="87"/>
      <c r="E418" s="87"/>
    </row>
    <row r="419" spans="2:67">
      <c r="B419" s="87"/>
      <c r="C419" s="87"/>
      <c r="D419" s="87"/>
      <c r="E419" s="87"/>
    </row>
    <row r="420" spans="2:67">
      <c r="B420" s="87"/>
      <c r="C420" s="87"/>
      <c r="D420" s="87"/>
      <c r="E420" s="87"/>
    </row>
    <row r="421" spans="2:67">
      <c r="B421" s="87"/>
      <c r="C421" s="87"/>
      <c r="D421" s="87"/>
      <c r="E421" s="87"/>
    </row>
    <row r="422" spans="2:67">
      <c r="B422" s="87"/>
      <c r="C422" s="87"/>
      <c r="D422" s="87"/>
      <c r="E422" s="87"/>
    </row>
    <row r="423" spans="2:67">
      <c r="B423" s="87"/>
      <c r="C423" s="87"/>
      <c r="D423" s="87"/>
      <c r="E423" s="87"/>
    </row>
    <row r="424" spans="2:67">
      <c r="B424" s="2" t="s">
        <v>1</v>
      </c>
      <c r="C424" s="2"/>
      <c r="D424" s="2"/>
      <c r="E424" s="2"/>
      <c r="F424" s="3"/>
      <c r="G424" s="4"/>
      <c r="H424" s="4"/>
      <c r="I424" s="4"/>
      <c r="J424" s="4"/>
      <c r="K424" s="4"/>
      <c r="L424" s="4"/>
      <c r="M424" s="4"/>
      <c r="N424" s="107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5"/>
      <c r="AF424" s="5"/>
      <c r="AG424" s="5"/>
      <c r="AH424" s="5"/>
      <c r="AI424" s="5"/>
      <c r="AJ424" s="5"/>
      <c r="AK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7"/>
      <c r="BI424" s="7"/>
      <c r="BJ424" s="5"/>
      <c r="BK424" s="5"/>
      <c r="BM424" s="5"/>
      <c r="BN424" s="5"/>
      <c r="BO424" s="5"/>
    </row>
    <row r="425" spans="2:67" ht="18.75">
      <c r="B425" s="2"/>
      <c r="C425" s="2"/>
      <c r="D425" s="2"/>
      <c r="E425" s="2"/>
      <c r="F425" s="139" t="s">
        <v>0</v>
      </c>
      <c r="G425" s="139"/>
      <c r="H425" s="139"/>
      <c r="I425" s="139"/>
      <c r="J425" s="139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40"/>
      <c r="Z425" s="140"/>
      <c r="AA425" s="140"/>
      <c r="AB425" s="140"/>
      <c r="AC425" s="140"/>
      <c r="AD425" s="140"/>
      <c r="AE425" s="141"/>
      <c r="AF425" s="8"/>
      <c r="AG425" s="8"/>
      <c r="AH425" s="8"/>
      <c r="AI425" s="8"/>
      <c r="AJ425" s="8"/>
      <c r="AK425" s="8"/>
      <c r="AL425" s="142"/>
      <c r="AM425" s="8"/>
      <c r="AN425" s="8"/>
      <c r="AO425" s="8"/>
      <c r="AP425" s="8"/>
      <c r="AQ425" s="8"/>
      <c r="AR425" s="143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9" t="s">
        <v>632</v>
      </c>
      <c r="BG425" s="10"/>
      <c r="BH425" s="10"/>
      <c r="BI425" s="10"/>
      <c r="BJ425" s="10"/>
      <c r="BK425" s="10"/>
      <c r="BL425" s="10"/>
      <c r="BM425" s="10"/>
      <c r="BN425" s="10"/>
      <c r="BO425" s="11"/>
    </row>
    <row r="426" spans="2:67">
      <c r="B426" s="12"/>
      <c r="C426" s="12"/>
      <c r="D426" s="12"/>
      <c r="E426" s="12"/>
      <c r="F426" s="13"/>
      <c r="G426" s="14" t="s">
        <v>3</v>
      </c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6"/>
      <c r="AM426" s="15"/>
      <c r="AN426" s="15"/>
      <c r="AO426" s="15"/>
      <c r="AP426" s="15"/>
      <c r="AQ426" s="15"/>
      <c r="AR426" s="17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8"/>
      <c r="BM426" s="15"/>
      <c r="BN426" s="15"/>
      <c r="BO426" s="15"/>
    </row>
    <row r="427" spans="2:67" ht="15">
      <c r="B427" s="19" t="s">
        <v>4</v>
      </c>
      <c r="C427" s="20" t="s">
        <v>5</v>
      </c>
      <c r="D427" s="20"/>
      <c r="E427" s="21" t="s">
        <v>6</v>
      </c>
      <c r="F427" s="110" t="s">
        <v>135</v>
      </c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24" t="s">
        <v>8</v>
      </c>
      <c r="BG427" s="25"/>
      <c r="BH427" s="25"/>
      <c r="BI427" s="26"/>
      <c r="BJ427" s="31" t="s">
        <v>9</v>
      </c>
      <c r="BK427" s="32"/>
      <c r="BL427" s="29"/>
      <c r="BM427" s="30"/>
      <c r="BN427" s="31" t="s">
        <v>10</v>
      </c>
      <c r="BO427" s="32"/>
    </row>
    <row r="428" spans="2:67" ht="110.1" customHeight="1">
      <c r="B428" s="33"/>
      <c r="C428" s="34" t="s">
        <v>11</v>
      </c>
      <c r="D428" s="35" t="s">
        <v>4</v>
      </c>
      <c r="E428" s="35" t="s">
        <v>12</v>
      </c>
      <c r="F428" s="36" t="s">
        <v>13</v>
      </c>
      <c r="G428" s="36" t="s">
        <v>14</v>
      </c>
      <c r="H428" s="36" t="s">
        <v>15</v>
      </c>
      <c r="I428" s="36" t="s">
        <v>16</v>
      </c>
      <c r="J428" s="36" t="s">
        <v>17</v>
      </c>
      <c r="K428" s="36" t="s">
        <v>18</v>
      </c>
      <c r="L428" s="36" t="s">
        <v>19</v>
      </c>
      <c r="M428" s="36" t="s">
        <v>20</v>
      </c>
      <c r="N428" s="37" t="s">
        <v>21</v>
      </c>
      <c r="O428" s="36" t="s">
        <v>22</v>
      </c>
      <c r="P428" s="36" t="s">
        <v>23</v>
      </c>
      <c r="Q428" s="36" t="s">
        <v>24</v>
      </c>
      <c r="R428" s="36" t="s">
        <v>25</v>
      </c>
      <c r="S428" s="36" t="s">
        <v>26</v>
      </c>
      <c r="T428" s="36" t="s">
        <v>27</v>
      </c>
      <c r="U428" s="36" t="s">
        <v>28</v>
      </c>
      <c r="V428" s="36" t="s">
        <v>29</v>
      </c>
      <c r="W428" s="36" t="s">
        <v>30</v>
      </c>
      <c r="X428" s="38" t="s">
        <v>31</v>
      </c>
      <c r="Y428" s="36" t="s">
        <v>32</v>
      </c>
      <c r="Z428" s="36" t="s">
        <v>33</v>
      </c>
      <c r="AA428" s="36" t="s">
        <v>34</v>
      </c>
      <c r="AB428" s="38" t="s">
        <v>35</v>
      </c>
      <c r="AC428" s="36" t="s">
        <v>36</v>
      </c>
      <c r="AD428" s="39" t="s">
        <v>37</v>
      </c>
      <c r="AE428" s="36" t="s">
        <v>38</v>
      </c>
      <c r="AF428" s="40" t="s">
        <v>39</v>
      </c>
      <c r="AG428" s="40" t="s">
        <v>40</v>
      </c>
      <c r="AH428" s="40" t="s">
        <v>41</v>
      </c>
      <c r="AI428" s="40" t="s">
        <v>42</v>
      </c>
      <c r="AJ428" s="40" t="s">
        <v>43</v>
      </c>
      <c r="AK428" s="40" t="s">
        <v>44</v>
      </c>
      <c r="AL428" s="41" t="s">
        <v>45</v>
      </c>
      <c r="AM428" s="42" t="s">
        <v>46</v>
      </c>
      <c r="AN428" s="43" t="s">
        <v>47</v>
      </c>
      <c r="AO428" s="40" t="s">
        <v>48</v>
      </c>
      <c r="AP428" s="40" t="s">
        <v>49</v>
      </c>
      <c r="AQ428" s="40" t="s">
        <v>50</v>
      </c>
      <c r="AR428" s="44" t="s">
        <v>136</v>
      </c>
      <c r="AS428" s="36" t="s">
        <v>52</v>
      </c>
      <c r="AT428" s="36" t="s">
        <v>53</v>
      </c>
      <c r="AU428" s="36" t="s">
        <v>54</v>
      </c>
      <c r="AV428" s="36" t="s">
        <v>55</v>
      </c>
      <c r="AW428" s="36" t="s">
        <v>56</v>
      </c>
      <c r="AX428" s="36" t="s">
        <v>203</v>
      </c>
      <c r="AY428" s="36" t="s">
        <v>58</v>
      </c>
      <c r="AZ428" s="38" t="s">
        <v>59</v>
      </c>
      <c r="BA428" s="36" t="s">
        <v>60</v>
      </c>
      <c r="BB428" s="36" t="s">
        <v>61</v>
      </c>
      <c r="BC428" s="39" t="s">
        <v>62</v>
      </c>
      <c r="BD428" s="36" t="s">
        <v>63</v>
      </c>
      <c r="BE428" s="36" t="s">
        <v>64</v>
      </c>
      <c r="BF428" s="45" t="s">
        <v>65</v>
      </c>
      <c r="BG428" s="45" t="s">
        <v>66</v>
      </c>
      <c r="BH428" s="45" t="s">
        <v>67</v>
      </c>
      <c r="BI428" s="45" t="s">
        <v>68</v>
      </c>
      <c r="BJ428" s="46" t="s">
        <v>69</v>
      </c>
      <c r="BK428" s="46" t="s">
        <v>70</v>
      </c>
      <c r="BL428" s="47" t="s">
        <v>71</v>
      </c>
      <c r="BM428" s="48" t="s">
        <v>72</v>
      </c>
      <c r="BN428" s="49" t="s">
        <v>69</v>
      </c>
      <c r="BO428" s="50" t="s">
        <v>70</v>
      </c>
    </row>
    <row r="429" spans="2:67" ht="18.95" customHeight="1">
      <c r="B429" s="51" t="s">
        <v>633</v>
      </c>
      <c r="C429" s="52" t="s">
        <v>74</v>
      </c>
      <c r="D429" s="53" t="s">
        <v>633</v>
      </c>
      <c r="E429" s="115" t="s">
        <v>634</v>
      </c>
      <c r="F429" s="55"/>
      <c r="G429" s="55"/>
      <c r="H429" s="55"/>
      <c r="I429" s="55"/>
      <c r="J429" s="55"/>
      <c r="K429" s="55"/>
      <c r="L429" s="55"/>
      <c r="M429" s="55"/>
      <c r="N429" s="56">
        <v>2</v>
      </c>
      <c r="O429" s="55"/>
      <c r="P429" s="55"/>
      <c r="Q429" s="57"/>
      <c r="R429" s="55"/>
      <c r="S429" s="58"/>
      <c r="T429" s="58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7"/>
      <c r="AF429" s="57"/>
      <c r="AG429" s="57"/>
      <c r="AH429" s="57"/>
      <c r="AI429" s="57"/>
      <c r="AJ429" s="57"/>
      <c r="AK429" s="57"/>
      <c r="AL429" s="59"/>
      <c r="AM429" s="57"/>
      <c r="AN429" s="57"/>
      <c r="AO429" s="55"/>
      <c r="AP429" s="55"/>
      <c r="AQ429" s="57"/>
      <c r="AR429" s="60"/>
      <c r="AS429" s="57"/>
      <c r="AT429" s="57"/>
      <c r="AU429" s="57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55"/>
      <c r="BG429" s="62"/>
      <c r="BH429" s="63">
        <f t="shared" ref="BH429:BH458" si="21">SUM(F429:BG429)</f>
        <v>2</v>
      </c>
      <c r="BI429" s="64">
        <v>2</v>
      </c>
      <c r="BJ429" s="62"/>
      <c r="BK429" s="62">
        <f>BH429-BI429</f>
        <v>0</v>
      </c>
      <c r="BL429" s="64"/>
      <c r="BM429" s="65"/>
      <c r="BN429" s="65"/>
      <c r="BO429" s="65"/>
    </row>
    <row r="430" spans="2:67" ht="18.95" customHeight="1">
      <c r="B430" s="51" t="s">
        <v>635</v>
      </c>
      <c r="C430" s="52" t="s">
        <v>74</v>
      </c>
      <c r="D430" s="53" t="s">
        <v>635</v>
      </c>
      <c r="E430" s="115" t="s">
        <v>636</v>
      </c>
      <c r="F430" s="66"/>
      <c r="G430" s="66"/>
      <c r="H430" s="66"/>
      <c r="I430" s="66"/>
      <c r="J430" s="66"/>
      <c r="K430" s="66"/>
      <c r="L430" s="66"/>
      <c r="M430" s="66"/>
      <c r="N430" s="67"/>
      <c r="O430" s="66">
        <v>1</v>
      </c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>
        <v>1</v>
      </c>
      <c r="AC430" s="66"/>
      <c r="AD430" s="66"/>
      <c r="AE430" s="66"/>
      <c r="AF430" s="66"/>
      <c r="AG430" s="66"/>
      <c r="AH430" s="66"/>
      <c r="AI430" s="66"/>
      <c r="AJ430" s="66">
        <v>1</v>
      </c>
      <c r="AK430" s="66"/>
      <c r="AL430" s="66"/>
      <c r="AM430" s="66"/>
      <c r="AN430" s="66"/>
      <c r="AO430" s="66"/>
      <c r="AP430" s="66"/>
      <c r="AQ430" s="66"/>
      <c r="AR430" s="68"/>
      <c r="AS430" s="66"/>
      <c r="AT430" s="66"/>
      <c r="AU430" s="66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55"/>
      <c r="BG430" s="70"/>
      <c r="BH430" s="63">
        <f t="shared" si="21"/>
        <v>3</v>
      </c>
      <c r="BI430" s="63">
        <v>16</v>
      </c>
      <c r="BJ430" s="70"/>
      <c r="BK430" s="62">
        <f t="shared" ref="BK430:BK458" si="22">BH430-BI430</f>
        <v>-13</v>
      </c>
      <c r="BL430" s="63"/>
      <c r="BM430" s="71"/>
      <c r="BN430" s="71"/>
      <c r="BO430" s="72"/>
    </row>
    <row r="431" spans="2:67" ht="18.95" customHeight="1">
      <c r="B431" s="51" t="s">
        <v>637</v>
      </c>
      <c r="C431" s="73" t="s">
        <v>74</v>
      </c>
      <c r="D431" s="53" t="s">
        <v>637</v>
      </c>
      <c r="E431" s="115" t="s">
        <v>638</v>
      </c>
      <c r="F431" s="66">
        <v>1</v>
      </c>
      <c r="G431" s="66"/>
      <c r="H431" s="66"/>
      <c r="I431" s="66"/>
      <c r="J431" s="66"/>
      <c r="K431" s="66"/>
      <c r="L431" s="66"/>
      <c r="M431" s="66"/>
      <c r="N431" s="67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8"/>
      <c r="AS431" s="66"/>
      <c r="AT431" s="66"/>
      <c r="AU431" s="66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55"/>
      <c r="BG431" s="70"/>
      <c r="BH431" s="63">
        <f t="shared" si="21"/>
        <v>1</v>
      </c>
      <c r="BI431" s="63">
        <v>1</v>
      </c>
      <c r="BJ431" s="70"/>
      <c r="BK431" s="62">
        <f t="shared" si="22"/>
        <v>0</v>
      </c>
      <c r="BL431" s="63"/>
      <c r="BM431" s="71"/>
      <c r="BN431" s="72"/>
      <c r="BO431" s="71"/>
    </row>
    <row r="432" spans="2:67" ht="18.95" customHeight="1">
      <c r="B432" s="51" t="s">
        <v>639</v>
      </c>
      <c r="C432" s="73" t="s">
        <v>74</v>
      </c>
      <c r="D432" s="53" t="s">
        <v>639</v>
      </c>
      <c r="E432" s="115" t="s">
        <v>640</v>
      </c>
      <c r="F432" s="66"/>
      <c r="G432" s="66"/>
      <c r="H432" s="66"/>
      <c r="I432" s="66"/>
      <c r="J432" s="66"/>
      <c r="K432" s="66"/>
      <c r="L432" s="66"/>
      <c r="M432" s="66"/>
      <c r="N432" s="67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8"/>
      <c r="AS432" s="66"/>
      <c r="AT432" s="66"/>
      <c r="AU432" s="66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>
        <v>1</v>
      </c>
      <c r="BF432" s="55"/>
      <c r="BG432" s="70"/>
      <c r="BH432" s="63">
        <f t="shared" si="21"/>
        <v>1</v>
      </c>
      <c r="BI432" s="63">
        <v>1</v>
      </c>
      <c r="BJ432" s="70"/>
      <c r="BK432" s="62">
        <f t="shared" si="22"/>
        <v>0</v>
      </c>
      <c r="BL432" s="63"/>
      <c r="BM432" s="71"/>
      <c r="BN432" s="71"/>
      <c r="BO432" s="71"/>
    </row>
    <row r="433" spans="2:67" ht="18.75" customHeight="1">
      <c r="B433" s="51" t="s">
        <v>641</v>
      </c>
      <c r="C433" s="73" t="s">
        <v>74</v>
      </c>
      <c r="D433" s="53" t="s">
        <v>641</v>
      </c>
      <c r="E433" s="115" t="s">
        <v>642</v>
      </c>
      <c r="F433" s="66"/>
      <c r="G433" s="66"/>
      <c r="H433" s="66"/>
      <c r="I433" s="66"/>
      <c r="J433" s="66"/>
      <c r="K433" s="66"/>
      <c r="L433" s="66"/>
      <c r="M433" s="66"/>
      <c r="N433" s="67">
        <v>1</v>
      </c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8"/>
      <c r="AS433" s="66"/>
      <c r="AT433" s="66"/>
      <c r="AU433" s="66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55"/>
      <c r="BG433" s="70"/>
      <c r="BH433" s="63">
        <f t="shared" si="21"/>
        <v>1</v>
      </c>
      <c r="BI433" s="63">
        <v>1</v>
      </c>
      <c r="BJ433" s="70"/>
      <c r="BK433" s="62">
        <f t="shared" si="22"/>
        <v>0</v>
      </c>
      <c r="BL433" s="63"/>
      <c r="BM433" s="71"/>
      <c r="BN433" s="71"/>
      <c r="BO433" s="71"/>
    </row>
    <row r="434" spans="2:67" ht="18.95" customHeight="1">
      <c r="B434" s="51" t="s">
        <v>643</v>
      </c>
      <c r="C434" s="73" t="s">
        <v>74</v>
      </c>
      <c r="D434" s="53" t="s">
        <v>643</v>
      </c>
      <c r="E434" s="115" t="s">
        <v>644</v>
      </c>
      <c r="F434" s="66"/>
      <c r="G434" s="66"/>
      <c r="H434" s="66"/>
      <c r="I434" s="66"/>
      <c r="J434" s="66"/>
      <c r="K434" s="66"/>
      <c r="L434" s="66"/>
      <c r="M434" s="66"/>
      <c r="N434" s="67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8"/>
      <c r="AS434" s="66"/>
      <c r="AT434" s="66"/>
      <c r="AU434" s="66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55"/>
      <c r="BG434" s="70"/>
      <c r="BH434" s="63">
        <f t="shared" si="21"/>
        <v>0</v>
      </c>
      <c r="BI434" s="63">
        <v>2</v>
      </c>
      <c r="BJ434" s="70"/>
      <c r="BK434" s="62">
        <f t="shared" si="22"/>
        <v>-2</v>
      </c>
      <c r="BL434" s="63"/>
      <c r="BM434" s="71"/>
      <c r="BN434" s="71"/>
      <c r="BO434" s="71"/>
    </row>
    <row r="435" spans="2:67" ht="18.95" customHeight="1">
      <c r="B435" s="51" t="s">
        <v>645</v>
      </c>
      <c r="C435" s="73" t="s">
        <v>74</v>
      </c>
      <c r="D435" s="53" t="s">
        <v>645</v>
      </c>
      <c r="E435" s="115" t="s">
        <v>646</v>
      </c>
      <c r="F435" s="66"/>
      <c r="G435" s="66"/>
      <c r="H435" s="66"/>
      <c r="I435" s="66"/>
      <c r="J435" s="66"/>
      <c r="K435" s="66">
        <v>1</v>
      </c>
      <c r="L435" s="66"/>
      <c r="M435" s="66"/>
      <c r="N435" s="67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8"/>
      <c r="AS435" s="66"/>
      <c r="AT435" s="66"/>
      <c r="AU435" s="66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55"/>
      <c r="BG435" s="70"/>
      <c r="BH435" s="63">
        <f t="shared" si="21"/>
        <v>1</v>
      </c>
      <c r="BI435" s="63">
        <v>1</v>
      </c>
      <c r="BJ435" s="70"/>
      <c r="BK435" s="62">
        <f t="shared" si="22"/>
        <v>0</v>
      </c>
      <c r="BL435" s="63"/>
      <c r="BM435" s="71"/>
      <c r="BN435" s="71"/>
      <c r="BO435" s="71"/>
    </row>
    <row r="436" spans="2:67" ht="30" customHeight="1">
      <c r="B436" s="51" t="s">
        <v>647</v>
      </c>
      <c r="C436" s="73" t="s">
        <v>74</v>
      </c>
      <c r="D436" s="53" t="s">
        <v>647</v>
      </c>
      <c r="E436" s="114" t="s">
        <v>648</v>
      </c>
      <c r="F436" s="66"/>
      <c r="G436" s="66"/>
      <c r="H436" s="66"/>
      <c r="I436" s="66"/>
      <c r="J436" s="66"/>
      <c r="K436" s="66"/>
      <c r="L436" s="66"/>
      <c r="M436" s="66"/>
      <c r="N436" s="67">
        <v>1</v>
      </c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8"/>
      <c r="AS436" s="66"/>
      <c r="AT436" s="66"/>
      <c r="AU436" s="66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55"/>
      <c r="BG436" s="70"/>
      <c r="BH436" s="63">
        <f t="shared" si="21"/>
        <v>1</v>
      </c>
      <c r="BI436" s="63">
        <v>1</v>
      </c>
      <c r="BJ436" s="70"/>
      <c r="BK436" s="62">
        <f t="shared" si="22"/>
        <v>0</v>
      </c>
      <c r="BL436" s="63"/>
      <c r="BM436" s="71"/>
      <c r="BN436" s="71"/>
      <c r="BO436" s="71"/>
    </row>
    <row r="437" spans="2:67" ht="18.95" customHeight="1">
      <c r="B437" s="51" t="s">
        <v>649</v>
      </c>
      <c r="C437" s="73" t="s">
        <v>74</v>
      </c>
      <c r="D437" s="53" t="s">
        <v>649</v>
      </c>
      <c r="E437" s="114" t="s">
        <v>650</v>
      </c>
      <c r="F437" s="66"/>
      <c r="G437" s="66"/>
      <c r="H437" s="66"/>
      <c r="I437" s="66"/>
      <c r="J437" s="66"/>
      <c r="K437" s="66"/>
      <c r="L437" s="66"/>
      <c r="M437" s="66"/>
      <c r="N437" s="67">
        <v>5</v>
      </c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8"/>
      <c r="AS437" s="66"/>
      <c r="AT437" s="66"/>
      <c r="AU437" s="66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55"/>
      <c r="BG437" s="70"/>
      <c r="BH437" s="63">
        <f t="shared" si="21"/>
        <v>5</v>
      </c>
      <c r="BI437" s="63">
        <v>5</v>
      </c>
      <c r="BJ437" s="70"/>
      <c r="BK437" s="62">
        <f t="shared" si="22"/>
        <v>0</v>
      </c>
      <c r="BL437" s="63"/>
      <c r="BM437" s="71"/>
      <c r="BN437" s="71"/>
      <c r="BO437" s="71"/>
    </row>
    <row r="438" spans="2:67" ht="18.95" customHeight="1">
      <c r="B438" s="51" t="s">
        <v>651</v>
      </c>
      <c r="C438" s="73" t="s">
        <v>74</v>
      </c>
      <c r="D438" s="53" t="s">
        <v>651</v>
      </c>
      <c r="E438" s="114" t="s">
        <v>652</v>
      </c>
      <c r="F438" s="66"/>
      <c r="G438" s="66"/>
      <c r="H438" s="66"/>
      <c r="I438" s="66"/>
      <c r="J438" s="66"/>
      <c r="K438" s="66"/>
      <c r="L438" s="66"/>
      <c r="M438" s="66"/>
      <c r="N438" s="67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8"/>
      <c r="AS438" s="66"/>
      <c r="AT438" s="66"/>
      <c r="AU438" s="66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55"/>
      <c r="BG438" s="70"/>
      <c r="BH438" s="63">
        <f t="shared" si="21"/>
        <v>0</v>
      </c>
      <c r="BI438" s="63">
        <v>2</v>
      </c>
      <c r="BJ438" s="70"/>
      <c r="BK438" s="62">
        <f t="shared" si="22"/>
        <v>-2</v>
      </c>
      <c r="BL438" s="63"/>
      <c r="BM438" s="71"/>
      <c r="BN438" s="71"/>
      <c r="BO438" s="71"/>
    </row>
    <row r="439" spans="2:67" ht="18.95" customHeight="1">
      <c r="B439" s="51" t="s">
        <v>653</v>
      </c>
      <c r="C439" s="73" t="s">
        <v>74</v>
      </c>
      <c r="D439" s="53" t="s">
        <v>653</v>
      </c>
      <c r="E439" s="115" t="s">
        <v>654</v>
      </c>
      <c r="F439" s="66"/>
      <c r="G439" s="66"/>
      <c r="H439" s="66"/>
      <c r="I439" s="66"/>
      <c r="J439" s="66"/>
      <c r="K439" s="66"/>
      <c r="L439" s="66"/>
      <c r="M439" s="66"/>
      <c r="N439" s="67"/>
      <c r="O439" s="66"/>
      <c r="P439" s="66"/>
      <c r="Q439" s="66"/>
      <c r="R439" s="66"/>
      <c r="S439" s="66"/>
      <c r="T439" s="66">
        <v>1</v>
      </c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8"/>
      <c r="AS439" s="66"/>
      <c r="AT439" s="66"/>
      <c r="AU439" s="66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55"/>
      <c r="BG439" s="70"/>
      <c r="BH439" s="63">
        <f t="shared" si="21"/>
        <v>1</v>
      </c>
      <c r="BI439" s="63">
        <v>1</v>
      </c>
      <c r="BJ439" s="70"/>
      <c r="BK439" s="62">
        <f t="shared" si="22"/>
        <v>0</v>
      </c>
      <c r="BL439" s="63"/>
      <c r="BM439" s="71"/>
      <c r="BN439" s="71"/>
      <c r="BO439" s="71"/>
    </row>
    <row r="440" spans="2:67" ht="18.75" customHeight="1">
      <c r="B440" s="51" t="s">
        <v>655</v>
      </c>
      <c r="C440" s="73" t="s">
        <v>74</v>
      </c>
      <c r="D440" s="53" t="s">
        <v>655</v>
      </c>
      <c r="E440" s="115" t="s">
        <v>656</v>
      </c>
      <c r="F440" s="66"/>
      <c r="G440" s="66"/>
      <c r="H440" s="66"/>
      <c r="I440" s="66"/>
      <c r="J440" s="66"/>
      <c r="K440" s="66"/>
      <c r="L440" s="66"/>
      <c r="M440" s="66"/>
      <c r="N440" s="67">
        <v>6</v>
      </c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8"/>
      <c r="AS440" s="66"/>
      <c r="AT440" s="66"/>
      <c r="AU440" s="66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55"/>
      <c r="BG440" s="70"/>
      <c r="BH440" s="63">
        <f t="shared" si="21"/>
        <v>6</v>
      </c>
      <c r="BI440" s="63">
        <v>6</v>
      </c>
      <c r="BJ440" s="70"/>
      <c r="BK440" s="62">
        <f t="shared" si="22"/>
        <v>0</v>
      </c>
      <c r="BL440" s="63"/>
      <c r="BM440" s="71"/>
      <c r="BN440" s="71"/>
      <c r="BO440" s="71"/>
    </row>
    <row r="441" spans="2:67" ht="18.95" customHeight="1">
      <c r="B441" s="51" t="s">
        <v>657</v>
      </c>
      <c r="C441" s="73" t="s">
        <v>74</v>
      </c>
      <c r="D441" s="53" t="s">
        <v>657</v>
      </c>
      <c r="E441" s="115" t="s">
        <v>658</v>
      </c>
      <c r="F441" s="66"/>
      <c r="G441" s="66"/>
      <c r="H441" s="66"/>
      <c r="I441" s="66"/>
      <c r="J441" s="66"/>
      <c r="K441" s="66"/>
      <c r="L441" s="66"/>
      <c r="M441" s="66"/>
      <c r="N441" s="67">
        <v>1</v>
      </c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8"/>
      <c r="AS441" s="66"/>
      <c r="AT441" s="66"/>
      <c r="AU441" s="66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55"/>
      <c r="BG441" s="70"/>
      <c r="BH441" s="63">
        <f t="shared" si="21"/>
        <v>1</v>
      </c>
      <c r="BI441" s="63">
        <v>1</v>
      </c>
      <c r="BJ441" s="70"/>
      <c r="BK441" s="62">
        <f t="shared" si="22"/>
        <v>0</v>
      </c>
      <c r="BL441" s="63"/>
      <c r="BM441" s="71"/>
      <c r="BN441" s="71"/>
      <c r="BO441" s="71"/>
    </row>
    <row r="442" spans="2:67" ht="18.95" customHeight="1">
      <c r="B442" s="51" t="s">
        <v>659</v>
      </c>
      <c r="C442" s="73" t="s">
        <v>74</v>
      </c>
      <c r="D442" s="53" t="s">
        <v>659</v>
      </c>
      <c r="E442" s="115" t="s">
        <v>660</v>
      </c>
      <c r="F442" s="66"/>
      <c r="G442" s="66"/>
      <c r="H442" s="66"/>
      <c r="I442" s="66"/>
      <c r="J442" s="66"/>
      <c r="K442" s="66"/>
      <c r="L442" s="66"/>
      <c r="M442" s="66"/>
      <c r="N442" s="67"/>
      <c r="O442" s="66"/>
      <c r="P442" s="66">
        <v>9</v>
      </c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8"/>
      <c r="AS442" s="66"/>
      <c r="AT442" s="66"/>
      <c r="AU442" s="66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55"/>
      <c r="BG442" s="70">
        <v>2</v>
      </c>
      <c r="BH442" s="63">
        <f t="shared" si="21"/>
        <v>11</v>
      </c>
      <c r="BI442" s="63">
        <v>11</v>
      </c>
      <c r="BJ442" s="70"/>
      <c r="BK442" s="62">
        <f t="shared" si="22"/>
        <v>0</v>
      </c>
      <c r="BL442" s="63"/>
      <c r="BM442" s="71"/>
      <c r="BN442" s="71"/>
      <c r="BO442" s="71"/>
    </row>
    <row r="443" spans="2:67" ht="18.75" customHeight="1">
      <c r="B443" s="51" t="s">
        <v>661</v>
      </c>
      <c r="C443" s="73" t="s">
        <v>74</v>
      </c>
      <c r="D443" s="53" t="s">
        <v>661</v>
      </c>
      <c r="E443" s="115" t="s">
        <v>662</v>
      </c>
      <c r="F443" s="66"/>
      <c r="G443" s="66"/>
      <c r="H443" s="66"/>
      <c r="I443" s="66"/>
      <c r="J443" s="66"/>
      <c r="K443" s="66"/>
      <c r="L443" s="66"/>
      <c r="M443" s="66"/>
      <c r="N443" s="67"/>
      <c r="O443" s="66"/>
      <c r="P443" s="66">
        <v>1</v>
      </c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8"/>
      <c r="AS443" s="66"/>
      <c r="AT443" s="66"/>
      <c r="AU443" s="66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55"/>
      <c r="BG443" s="70"/>
      <c r="BH443" s="63">
        <f t="shared" si="21"/>
        <v>1</v>
      </c>
      <c r="BI443" s="63">
        <v>1</v>
      </c>
      <c r="BJ443" s="70"/>
      <c r="BK443" s="62">
        <f t="shared" si="22"/>
        <v>0</v>
      </c>
      <c r="BL443" s="63"/>
      <c r="BM443" s="71"/>
      <c r="BN443" s="71"/>
      <c r="BO443" s="71"/>
    </row>
    <row r="444" spans="2:67" ht="19.5" customHeight="1">
      <c r="B444" s="51" t="s">
        <v>663</v>
      </c>
      <c r="C444" s="73" t="s">
        <v>74</v>
      </c>
      <c r="D444" s="53" t="s">
        <v>663</v>
      </c>
      <c r="E444" s="115" t="s">
        <v>664</v>
      </c>
      <c r="F444" s="66"/>
      <c r="G444" s="66"/>
      <c r="H444" s="66"/>
      <c r="I444" s="66"/>
      <c r="J444" s="66"/>
      <c r="K444" s="66"/>
      <c r="L444" s="66"/>
      <c r="M444" s="66"/>
      <c r="N444" s="67">
        <v>1</v>
      </c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8"/>
      <c r="AS444" s="66"/>
      <c r="AT444" s="66"/>
      <c r="AU444" s="66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55"/>
      <c r="BG444" s="70"/>
      <c r="BH444" s="63">
        <f t="shared" si="21"/>
        <v>1</v>
      </c>
      <c r="BI444" s="63">
        <v>1</v>
      </c>
      <c r="BJ444" s="70"/>
      <c r="BK444" s="62">
        <f t="shared" si="22"/>
        <v>0</v>
      </c>
      <c r="BL444" s="63"/>
      <c r="BM444" s="71"/>
      <c r="BN444" s="71"/>
      <c r="BO444" s="71"/>
    </row>
    <row r="445" spans="2:67" ht="18.95" customHeight="1">
      <c r="B445" s="51" t="s">
        <v>665</v>
      </c>
      <c r="C445" s="52" t="s">
        <v>74</v>
      </c>
      <c r="D445" s="53" t="s">
        <v>665</v>
      </c>
      <c r="E445" s="115" t="s">
        <v>666</v>
      </c>
      <c r="F445" s="66"/>
      <c r="G445" s="66"/>
      <c r="H445" s="66"/>
      <c r="I445" s="66"/>
      <c r="J445" s="66"/>
      <c r="K445" s="66"/>
      <c r="L445" s="66"/>
      <c r="M445" s="66"/>
      <c r="N445" s="67"/>
      <c r="O445" s="66">
        <v>1</v>
      </c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8"/>
      <c r="AS445" s="66"/>
      <c r="AT445" s="66"/>
      <c r="AU445" s="66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55"/>
      <c r="BG445" s="70"/>
      <c r="BH445" s="63">
        <f t="shared" si="21"/>
        <v>1</v>
      </c>
      <c r="BI445" s="63">
        <v>1</v>
      </c>
      <c r="BJ445" s="70"/>
      <c r="BK445" s="62">
        <f t="shared" si="22"/>
        <v>0</v>
      </c>
      <c r="BL445" s="63"/>
      <c r="BM445" s="71"/>
      <c r="BN445" s="71"/>
      <c r="BO445" s="71"/>
    </row>
    <row r="446" spans="2:67" ht="18.95" customHeight="1">
      <c r="B446" s="51" t="s">
        <v>667</v>
      </c>
      <c r="C446" s="73" t="s">
        <v>74</v>
      </c>
      <c r="D446" s="53" t="s">
        <v>667</v>
      </c>
      <c r="E446" s="144" t="s">
        <v>668</v>
      </c>
      <c r="F446" s="66"/>
      <c r="G446" s="66"/>
      <c r="H446" s="66"/>
      <c r="I446" s="66"/>
      <c r="J446" s="66"/>
      <c r="K446" s="66"/>
      <c r="L446" s="66"/>
      <c r="M446" s="66"/>
      <c r="N446" s="67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8"/>
      <c r="AS446" s="66"/>
      <c r="AT446" s="66"/>
      <c r="AU446" s="66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55"/>
      <c r="BG446" s="70">
        <v>5</v>
      </c>
      <c r="BH446" s="63">
        <f t="shared" si="21"/>
        <v>5</v>
      </c>
      <c r="BI446" s="63">
        <v>5</v>
      </c>
      <c r="BJ446" s="70"/>
      <c r="BK446" s="62">
        <f t="shared" si="22"/>
        <v>0</v>
      </c>
      <c r="BL446" s="63"/>
      <c r="BM446" s="71"/>
      <c r="BN446" s="71"/>
      <c r="BO446" s="71"/>
    </row>
    <row r="447" spans="2:67" ht="18.95" customHeight="1">
      <c r="B447" s="51" t="s">
        <v>669</v>
      </c>
      <c r="C447" s="73" t="s">
        <v>74</v>
      </c>
      <c r="D447" s="132" t="s">
        <v>669</v>
      </c>
      <c r="E447" s="133" t="s">
        <v>670</v>
      </c>
      <c r="F447" s="66"/>
      <c r="G447" s="66"/>
      <c r="H447" s="66"/>
      <c r="I447" s="66"/>
      <c r="J447" s="66"/>
      <c r="K447" s="66"/>
      <c r="L447" s="66"/>
      <c r="M447" s="66"/>
      <c r="N447" s="67"/>
      <c r="O447" s="66"/>
      <c r="P447" s="145"/>
      <c r="Q447" s="145"/>
      <c r="R447" s="66"/>
      <c r="S447" s="145"/>
      <c r="T447" s="145"/>
      <c r="U447" s="145"/>
      <c r="V447" s="145"/>
      <c r="W447" s="145"/>
      <c r="X447" s="145"/>
      <c r="Y447" s="145"/>
      <c r="Z447" s="66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45"/>
      <c r="AK447" s="145"/>
      <c r="AL447" s="145"/>
      <c r="AM447" s="145"/>
      <c r="AN447" s="145"/>
      <c r="AO447" s="145"/>
      <c r="AP447" s="145"/>
      <c r="AQ447" s="145"/>
      <c r="AR447" s="145"/>
      <c r="AS447" s="145"/>
      <c r="AT447" s="145"/>
      <c r="AU447" s="145"/>
      <c r="AV447" s="146"/>
      <c r="AW447" s="146"/>
      <c r="AX447" s="146"/>
      <c r="AY447" s="146"/>
      <c r="AZ447" s="146"/>
      <c r="BA447" s="146"/>
      <c r="BB447" s="146"/>
      <c r="BC447" s="146"/>
      <c r="BD447" s="69"/>
      <c r="BE447" s="146"/>
      <c r="BF447" s="134"/>
      <c r="BG447" s="70"/>
      <c r="BH447" s="126">
        <f t="shared" si="21"/>
        <v>0</v>
      </c>
      <c r="BI447" s="126">
        <v>0</v>
      </c>
      <c r="BJ447" s="125"/>
      <c r="BK447" s="62">
        <f t="shared" si="22"/>
        <v>0</v>
      </c>
      <c r="BL447" s="126" t="s">
        <v>449</v>
      </c>
      <c r="BM447" s="71"/>
      <c r="BN447" s="71"/>
      <c r="BO447" s="71"/>
    </row>
    <row r="448" spans="2:67" ht="18.95" customHeight="1">
      <c r="B448" s="51" t="s">
        <v>671</v>
      </c>
      <c r="C448" s="73" t="s">
        <v>74</v>
      </c>
      <c r="D448" s="53" t="s">
        <v>671</v>
      </c>
      <c r="E448" s="144" t="s">
        <v>672</v>
      </c>
      <c r="F448" s="66"/>
      <c r="G448" s="66"/>
      <c r="H448" s="66"/>
      <c r="I448" s="66"/>
      <c r="J448" s="66"/>
      <c r="K448" s="66"/>
      <c r="L448" s="66"/>
      <c r="M448" s="66"/>
      <c r="N448" s="67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>
        <v>1</v>
      </c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8"/>
      <c r="AS448" s="66"/>
      <c r="AT448" s="66"/>
      <c r="AU448" s="66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55"/>
      <c r="BG448" s="70"/>
      <c r="BH448" s="63">
        <f t="shared" si="21"/>
        <v>1</v>
      </c>
      <c r="BI448" s="63">
        <v>3</v>
      </c>
      <c r="BJ448" s="70"/>
      <c r="BK448" s="62">
        <f t="shared" si="22"/>
        <v>-2</v>
      </c>
      <c r="BL448" s="63"/>
      <c r="BM448" s="71"/>
      <c r="BN448" s="71"/>
      <c r="BO448" s="71"/>
    </row>
    <row r="449" spans="2:67" ht="18.95" customHeight="1">
      <c r="B449" s="51" t="s">
        <v>673</v>
      </c>
      <c r="C449" s="73" t="s">
        <v>74</v>
      </c>
      <c r="D449" s="53" t="s">
        <v>673</v>
      </c>
      <c r="E449" s="144" t="s">
        <v>674</v>
      </c>
      <c r="F449" s="66"/>
      <c r="G449" s="66"/>
      <c r="H449" s="66"/>
      <c r="I449" s="66"/>
      <c r="J449" s="66"/>
      <c r="K449" s="66"/>
      <c r="L449" s="66"/>
      <c r="M449" s="66"/>
      <c r="N449" s="67"/>
      <c r="O449" s="66"/>
      <c r="P449" s="66">
        <v>10</v>
      </c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8"/>
      <c r="AS449" s="66"/>
      <c r="AT449" s="66"/>
      <c r="AU449" s="66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55"/>
      <c r="BG449" s="70"/>
      <c r="BH449" s="63">
        <f t="shared" si="21"/>
        <v>10</v>
      </c>
      <c r="BI449" s="63">
        <v>10</v>
      </c>
      <c r="BJ449" s="70"/>
      <c r="BK449" s="62">
        <f t="shared" si="22"/>
        <v>0</v>
      </c>
      <c r="BL449" s="63"/>
      <c r="BM449" s="71"/>
      <c r="BN449" s="71"/>
      <c r="BO449" s="71"/>
    </row>
    <row r="450" spans="2:67" ht="18.95" customHeight="1">
      <c r="B450" s="51" t="s">
        <v>675</v>
      </c>
      <c r="C450" s="73" t="s">
        <v>74</v>
      </c>
      <c r="D450" s="53" t="s">
        <v>675</v>
      </c>
      <c r="E450" s="144" t="s">
        <v>676</v>
      </c>
      <c r="F450" s="66"/>
      <c r="G450" s="66"/>
      <c r="H450" s="66"/>
      <c r="I450" s="66"/>
      <c r="J450" s="66"/>
      <c r="K450" s="66"/>
      <c r="L450" s="66"/>
      <c r="M450" s="66"/>
      <c r="N450" s="67">
        <v>1</v>
      </c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8"/>
      <c r="AS450" s="66"/>
      <c r="AT450" s="66"/>
      <c r="AU450" s="66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55"/>
      <c r="BG450" s="70"/>
      <c r="BH450" s="63">
        <f t="shared" si="21"/>
        <v>1</v>
      </c>
      <c r="BI450" s="63">
        <v>1</v>
      </c>
      <c r="BJ450" s="70"/>
      <c r="BK450" s="62">
        <f t="shared" si="22"/>
        <v>0</v>
      </c>
      <c r="BL450" s="63"/>
      <c r="BM450" s="71"/>
      <c r="BN450" s="71"/>
      <c r="BO450" s="71"/>
    </row>
    <row r="451" spans="2:67" ht="18.95" customHeight="1">
      <c r="B451" s="51" t="s">
        <v>677</v>
      </c>
      <c r="C451" s="73" t="s">
        <v>74</v>
      </c>
      <c r="D451" s="53" t="s">
        <v>677</v>
      </c>
      <c r="E451" s="115" t="s">
        <v>678</v>
      </c>
      <c r="F451" s="66"/>
      <c r="G451" s="66"/>
      <c r="H451" s="66"/>
      <c r="I451" s="66"/>
      <c r="J451" s="66"/>
      <c r="K451" s="66">
        <v>1</v>
      </c>
      <c r="L451" s="66"/>
      <c r="M451" s="66"/>
      <c r="N451" s="67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8"/>
      <c r="AS451" s="66"/>
      <c r="AT451" s="66"/>
      <c r="AU451" s="66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55"/>
      <c r="BG451" s="70"/>
      <c r="BH451" s="63">
        <f t="shared" si="21"/>
        <v>1</v>
      </c>
      <c r="BI451" s="63">
        <v>1</v>
      </c>
      <c r="BJ451" s="70"/>
      <c r="BK451" s="62">
        <f t="shared" si="22"/>
        <v>0</v>
      </c>
      <c r="BL451" s="63"/>
      <c r="BM451" s="71"/>
      <c r="BN451" s="71"/>
      <c r="BO451" s="71"/>
    </row>
    <row r="452" spans="2:67" ht="18.75" customHeight="1">
      <c r="B452" s="51" t="s">
        <v>679</v>
      </c>
      <c r="C452" s="73" t="s">
        <v>74</v>
      </c>
      <c r="D452" s="53" t="s">
        <v>679</v>
      </c>
      <c r="E452" s="115" t="s">
        <v>680</v>
      </c>
      <c r="F452" s="66"/>
      <c r="G452" s="66"/>
      <c r="H452" s="66"/>
      <c r="I452" s="66"/>
      <c r="J452" s="66"/>
      <c r="K452" s="66"/>
      <c r="L452" s="66"/>
      <c r="M452" s="66"/>
      <c r="N452" s="67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8"/>
      <c r="AS452" s="66"/>
      <c r="AT452" s="66"/>
      <c r="AU452" s="66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55"/>
      <c r="BG452" s="70">
        <v>1</v>
      </c>
      <c r="BH452" s="63">
        <f t="shared" si="21"/>
        <v>1</v>
      </c>
      <c r="BI452" s="63">
        <v>1</v>
      </c>
      <c r="BJ452" s="70"/>
      <c r="BK452" s="62">
        <f t="shared" si="22"/>
        <v>0</v>
      </c>
      <c r="BL452" s="63"/>
      <c r="BM452" s="71"/>
      <c r="BN452" s="71"/>
      <c r="BO452" s="71"/>
    </row>
    <row r="453" spans="2:67" ht="18.75" customHeight="1">
      <c r="B453" s="51" t="s">
        <v>681</v>
      </c>
      <c r="C453" s="73" t="s">
        <v>74</v>
      </c>
      <c r="D453" s="53" t="s">
        <v>681</v>
      </c>
      <c r="E453" s="115" t="s">
        <v>682</v>
      </c>
      <c r="F453" s="66">
        <v>1</v>
      </c>
      <c r="G453" s="66">
        <v>1</v>
      </c>
      <c r="H453" s="66">
        <v>1</v>
      </c>
      <c r="I453" s="66">
        <v>1</v>
      </c>
      <c r="J453" s="66">
        <v>1</v>
      </c>
      <c r="K453" s="66">
        <v>1</v>
      </c>
      <c r="L453" s="66">
        <v>1</v>
      </c>
      <c r="M453" s="66">
        <v>1</v>
      </c>
      <c r="N453" s="67">
        <v>1</v>
      </c>
      <c r="O453" s="66">
        <v>1</v>
      </c>
      <c r="P453" s="66">
        <v>1</v>
      </c>
      <c r="Q453" s="66"/>
      <c r="R453" s="66"/>
      <c r="S453" s="66"/>
      <c r="T453" s="66">
        <v>1</v>
      </c>
      <c r="U453" s="66">
        <v>1</v>
      </c>
      <c r="V453" s="66"/>
      <c r="W453" s="66">
        <v>1</v>
      </c>
      <c r="X453" s="66"/>
      <c r="Y453" s="66">
        <v>1</v>
      </c>
      <c r="Z453" s="66">
        <v>1</v>
      </c>
      <c r="AA453" s="66">
        <v>1</v>
      </c>
      <c r="AB453" s="66">
        <v>1</v>
      </c>
      <c r="AC453" s="66">
        <v>1</v>
      </c>
      <c r="AD453" s="66">
        <v>1</v>
      </c>
      <c r="AE453" s="66"/>
      <c r="AF453" s="66"/>
      <c r="AG453" s="66"/>
      <c r="AH453" s="66"/>
      <c r="AI453" s="66"/>
      <c r="AJ453" s="66"/>
      <c r="AK453" s="66"/>
      <c r="AL453" s="75"/>
      <c r="AM453" s="66"/>
      <c r="AN453" s="66"/>
      <c r="AO453" s="66"/>
      <c r="AP453" s="66"/>
      <c r="AQ453" s="66"/>
      <c r="AR453" s="68"/>
      <c r="AS453" s="66"/>
      <c r="AT453" s="66"/>
      <c r="AU453" s="66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55"/>
      <c r="BG453" s="70"/>
      <c r="BH453" s="63">
        <f t="shared" si="21"/>
        <v>20</v>
      </c>
      <c r="BI453" s="63">
        <v>20</v>
      </c>
      <c r="BJ453" s="70"/>
      <c r="BK453" s="62">
        <f t="shared" si="22"/>
        <v>0</v>
      </c>
      <c r="BL453" s="63"/>
      <c r="BM453" s="71"/>
      <c r="BN453" s="71"/>
      <c r="BO453" s="71"/>
    </row>
    <row r="454" spans="2:67" ht="18.95" customHeight="1">
      <c r="B454" s="51" t="s">
        <v>683</v>
      </c>
      <c r="C454" s="73" t="s">
        <v>74</v>
      </c>
      <c r="D454" s="53" t="s">
        <v>683</v>
      </c>
      <c r="E454" s="114" t="s">
        <v>684</v>
      </c>
      <c r="F454" s="66"/>
      <c r="G454" s="66"/>
      <c r="H454" s="66"/>
      <c r="I454" s="66"/>
      <c r="J454" s="66"/>
      <c r="K454" s="66"/>
      <c r="L454" s="66"/>
      <c r="M454" s="66"/>
      <c r="N454" s="67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75"/>
      <c r="AM454" s="66"/>
      <c r="AN454" s="66"/>
      <c r="AO454" s="66"/>
      <c r="AP454" s="66"/>
      <c r="AQ454" s="66"/>
      <c r="AR454" s="68"/>
      <c r="AS454" s="66"/>
      <c r="AT454" s="66"/>
      <c r="AU454" s="66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55"/>
      <c r="BG454" s="70"/>
      <c r="BH454" s="63">
        <f t="shared" si="21"/>
        <v>0</v>
      </c>
      <c r="BI454" s="63">
        <v>5</v>
      </c>
      <c r="BJ454" s="70"/>
      <c r="BK454" s="62">
        <f t="shared" si="22"/>
        <v>-5</v>
      </c>
      <c r="BL454" s="63"/>
      <c r="BM454" s="71"/>
      <c r="BN454" s="71"/>
      <c r="BO454" s="71"/>
    </row>
    <row r="455" spans="2:67" ht="18.75" customHeight="1">
      <c r="B455" s="51" t="s">
        <v>685</v>
      </c>
      <c r="C455" s="73" t="s">
        <v>74</v>
      </c>
      <c r="D455" s="53" t="s">
        <v>685</v>
      </c>
      <c r="E455" s="115" t="s">
        <v>686</v>
      </c>
      <c r="F455" s="66"/>
      <c r="G455" s="66"/>
      <c r="H455" s="66"/>
      <c r="I455" s="66"/>
      <c r="J455" s="66"/>
      <c r="K455" s="66"/>
      <c r="L455" s="66"/>
      <c r="M455" s="66"/>
      <c r="N455" s="67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8"/>
      <c r="AS455" s="66"/>
      <c r="AT455" s="66"/>
      <c r="AU455" s="66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55"/>
      <c r="BG455" s="70"/>
      <c r="BH455" s="63">
        <f t="shared" si="21"/>
        <v>0</v>
      </c>
      <c r="BI455" s="63">
        <v>5</v>
      </c>
      <c r="BJ455" s="70"/>
      <c r="BK455" s="62">
        <f t="shared" si="22"/>
        <v>-5</v>
      </c>
      <c r="BL455" s="63"/>
      <c r="BM455" s="71"/>
      <c r="BN455" s="65"/>
      <c r="BO455" s="65"/>
    </row>
    <row r="456" spans="2:67" ht="18.75" customHeight="1">
      <c r="B456" s="51" t="s">
        <v>687</v>
      </c>
      <c r="C456" s="73" t="s">
        <v>74</v>
      </c>
      <c r="D456" s="53" t="s">
        <v>687</v>
      </c>
      <c r="E456" s="115" t="s">
        <v>688</v>
      </c>
      <c r="F456" s="55"/>
      <c r="G456" s="66"/>
      <c r="H456" s="66"/>
      <c r="I456" s="66"/>
      <c r="J456" s="66"/>
      <c r="K456" s="66"/>
      <c r="L456" s="66"/>
      <c r="M456" s="66"/>
      <c r="N456" s="67"/>
      <c r="O456" s="66"/>
      <c r="P456" s="66"/>
      <c r="Q456" s="66"/>
      <c r="R456" s="66"/>
      <c r="S456" s="66"/>
      <c r="T456" s="66"/>
      <c r="U456" s="66">
        <v>1</v>
      </c>
      <c r="V456" s="66">
        <v>1</v>
      </c>
      <c r="W456" s="66"/>
      <c r="X456" s="66">
        <v>1</v>
      </c>
      <c r="Y456" s="66"/>
      <c r="Z456" s="66">
        <v>1</v>
      </c>
      <c r="AA456" s="66">
        <v>1</v>
      </c>
      <c r="AB456" s="66">
        <v>1</v>
      </c>
      <c r="AC456" s="66">
        <v>1</v>
      </c>
      <c r="AD456" s="66">
        <v>1</v>
      </c>
      <c r="AE456" s="66"/>
      <c r="AF456" s="66">
        <v>1</v>
      </c>
      <c r="AG456" s="66">
        <v>1</v>
      </c>
      <c r="AH456" s="66"/>
      <c r="AI456" s="66"/>
      <c r="AJ456" s="66"/>
      <c r="AK456" s="66"/>
      <c r="AL456" s="75"/>
      <c r="AM456" s="66"/>
      <c r="AN456" s="66"/>
      <c r="AO456" s="66"/>
      <c r="AP456" s="66"/>
      <c r="AQ456" s="66"/>
      <c r="AR456" s="68"/>
      <c r="AS456" s="66"/>
      <c r="AT456" s="66"/>
      <c r="AU456" s="66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55"/>
      <c r="BG456" s="70"/>
      <c r="BH456" s="63">
        <f t="shared" si="21"/>
        <v>10</v>
      </c>
      <c r="BI456" s="63">
        <v>10</v>
      </c>
      <c r="BJ456" s="70"/>
      <c r="BK456" s="62">
        <f t="shared" si="22"/>
        <v>0</v>
      </c>
      <c r="BL456" s="63"/>
      <c r="BM456" s="71"/>
      <c r="BN456" s="65"/>
      <c r="BO456" s="65"/>
    </row>
    <row r="457" spans="2:67" ht="18.95" customHeight="1">
      <c r="B457" s="51" t="s">
        <v>689</v>
      </c>
      <c r="C457" s="73" t="s">
        <v>74</v>
      </c>
      <c r="D457" s="53" t="s">
        <v>689</v>
      </c>
      <c r="E457" s="115" t="s">
        <v>690</v>
      </c>
      <c r="F457" s="66"/>
      <c r="G457" s="66"/>
      <c r="H457" s="66"/>
      <c r="I457" s="66"/>
      <c r="J457" s="66"/>
      <c r="K457" s="66"/>
      <c r="L457" s="66"/>
      <c r="M457" s="66"/>
      <c r="N457" s="67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8"/>
      <c r="AS457" s="66"/>
      <c r="AT457" s="66"/>
      <c r="AU457" s="66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55"/>
      <c r="BG457" s="70">
        <v>2</v>
      </c>
      <c r="BH457" s="63">
        <f t="shared" si="21"/>
        <v>2</v>
      </c>
      <c r="BI457" s="63">
        <v>2</v>
      </c>
      <c r="BJ457" s="70"/>
      <c r="BK457" s="62">
        <f t="shared" si="22"/>
        <v>0</v>
      </c>
      <c r="BL457" s="63"/>
      <c r="BM457" s="71"/>
      <c r="BN457" s="71"/>
      <c r="BO457" s="71"/>
    </row>
    <row r="458" spans="2:67" ht="18.75" customHeight="1">
      <c r="B458" s="51" t="s">
        <v>691</v>
      </c>
      <c r="C458" s="73" t="s">
        <v>74</v>
      </c>
      <c r="D458" s="53" t="s">
        <v>691</v>
      </c>
      <c r="E458" s="115" t="s">
        <v>692</v>
      </c>
      <c r="F458" s="55"/>
      <c r="G458" s="55"/>
      <c r="H458" s="55"/>
      <c r="I458" s="55"/>
      <c r="J458" s="55"/>
      <c r="K458" s="55"/>
      <c r="L458" s="55"/>
      <c r="M458" s="55"/>
      <c r="N458" s="56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76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>
        <v>1</v>
      </c>
      <c r="BC458" s="55"/>
      <c r="BD458" s="55"/>
      <c r="BE458" s="55"/>
      <c r="BF458" s="55"/>
      <c r="BG458" s="70"/>
      <c r="BH458" s="63">
        <f t="shared" si="21"/>
        <v>1</v>
      </c>
      <c r="BI458" s="63">
        <v>1</v>
      </c>
      <c r="BJ458" s="70"/>
      <c r="BK458" s="62">
        <f t="shared" si="22"/>
        <v>0</v>
      </c>
      <c r="BL458" s="63"/>
      <c r="BM458" s="71"/>
      <c r="BN458" s="65"/>
      <c r="BO458" s="65"/>
    </row>
    <row r="459" spans="2:67">
      <c r="B459" s="87"/>
      <c r="C459" s="87"/>
      <c r="D459" s="87"/>
      <c r="E459" s="87"/>
    </row>
    <row r="460" spans="2:67">
      <c r="B460" s="87"/>
      <c r="C460" s="87"/>
      <c r="D460" s="87"/>
      <c r="E460" s="87"/>
    </row>
    <row r="461" spans="2:67">
      <c r="B461" s="87"/>
      <c r="C461" s="87"/>
      <c r="D461" s="87"/>
      <c r="E461" s="87"/>
    </row>
    <row r="462" spans="2:67">
      <c r="B462" s="87"/>
      <c r="C462" s="87"/>
      <c r="D462" s="87"/>
      <c r="E462" s="87"/>
    </row>
    <row r="463" spans="2:67">
      <c r="B463" s="87"/>
      <c r="C463" s="87"/>
      <c r="D463" s="87"/>
      <c r="E463" s="87"/>
    </row>
    <row r="464" spans="2:67">
      <c r="B464" s="87"/>
      <c r="C464" s="87"/>
      <c r="D464" s="87"/>
      <c r="E464" s="87"/>
    </row>
    <row r="465" spans="2:67">
      <c r="B465" s="87"/>
      <c r="C465" s="87"/>
      <c r="D465" s="87"/>
      <c r="E465" s="87"/>
    </row>
    <row r="466" spans="2:67">
      <c r="B466" s="87"/>
      <c r="C466" s="87"/>
      <c r="D466" s="87"/>
      <c r="E466" s="87"/>
    </row>
    <row r="467" spans="2:67">
      <c r="B467" s="87"/>
      <c r="C467" s="87"/>
      <c r="D467" s="87"/>
      <c r="E467" s="87"/>
    </row>
    <row r="468" spans="2:67">
      <c r="B468" s="87"/>
      <c r="C468" s="87"/>
      <c r="D468" s="87"/>
      <c r="E468" s="87"/>
    </row>
    <row r="469" spans="2:67">
      <c r="B469" s="87"/>
      <c r="C469" s="87"/>
      <c r="D469" s="87"/>
      <c r="E469" s="87"/>
    </row>
    <row r="470" spans="2:67">
      <c r="B470" s="87"/>
      <c r="C470" s="87"/>
      <c r="D470" s="87"/>
      <c r="E470" s="87"/>
    </row>
    <row r="471" spans="2:67">
      <c r="B471" s="87"/>
      <c r="C471" s="87"/>
      <c r="D471" s="87"/>
      <c r="E471" s="87"/>
    </row>
    <row r="472" spans="2:67">
      <c r="B472" s="87"/>
      <c r="C472" s="87"/>
      <c r="D472" s="87"/>
      <c r="E472" s="87"/>
    </row>
    <row r="473" spans="2:67">
      <c r="B473" s="87"/>
      <c r="C473" s="87"/>
      <c r="D473" s="87"/>
      <c r="E473" s="87"/>
    </row>
    <row r="474" spans="2:67">
      <c r="B474" s="87"/>
      <c r="C474" s="87"/>
      <c r="D474" s="87"/>
      <c r="E474" s="87"/>
    </row>
    <row r="475" spans="2:67">
      <c r="B475" s="87"/>
      <c r="C475" s="87"/>
      <c r="D475" s="87"/>
      <c r="E475" s="87"/>
    </row>
    <row r="476" spans="2:67">
      <c r="B476" s="87"/>
      <c r="C476" s="87"/>
      <c r="D476" s="87"/>
      <c r="E476" s="87"/>
    </row>
    <row r="477" spans="2:67">
      <c r="B477" s="87"/>
      <c r="C477" s="87"/>
      <c r="D477" s="87"/>
      <c r="E477" s="87"/>
    </row>
    <row r="478" spans="2:67">
      <c r="B478" s="87"/>
      <c r="C478" s="87"/>
      <c r="D478" s="87"/>
      <c r="E478" s="87"/>
    </row>
    <row r="479" spans="2:67">
      <c r="B479" s="87"/>
      <c r="C479" s="87"/>
      <c r="D479" s="87"/>
      <c r="E479" s="87"/>
    </row>
    <row r="480" spans="2:67">
      <c r="B480" s="2" t="s">
        <v>1</v>
      </c>
      <c r="C480" s="2"/>
      <c r="D480" s="2"/>
      <c r="E480" s="2"/>
      <c r="F480" s="3"/>
      <c r="G480" s="4"/>
      <c r="H480" s="4"/>
      <c r="I480" s="4"/>
      <c r="J480" s="4"/>
      <c r="K480" s="4"/>
      <c r="L480" s="4"/>
      <c r="M480" s="4"/>
      <c r="N480" s="107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5"/>
      <c r="AF480" s="5"/>
      <c r="AG480" s="5"/>
      <c r="AH480" s="5"/>
      <c r="AI480" s="5"/>
      <c r="AJ480" s="5"/>
      <c r="AK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7"/>
      <c r="BI480" s="7"/>
      <c r="BJ480" s="5"/>
      <c r="BK480" s="5"/>
      <c r="BM480" s="5"/>
      <c r="BN480" s="5"/>
      <c r="BO480" s="5"/>
    </row>
    <row r="481" spans="1:67" ht="18.75">
      <c r="B481" s="2"/>
      <c r="C481" s="2"/>
      <c r="D481" s="2"/>
      <c r="E481" s="2"/>
      <c r="F481" s="139" t="s">
        <v>0</v>
      </c>
      <c r="G481" s="139"/>
      <c r="H481" s="139"/>
      <c r="I481" s="139"/>
      <c r="J481" s="139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40"/>
      <c r="Z481" s="140"/>
      <c r="AA481" s="140"/>
      <c r="AB481" s="140"/>
      <c r="AC481" s="140"/>
      <c r="AD481" s="140"/>
      <c r="AE481" s="141"/>
      <c r="AF481" s="8"/>
      <c r="AG481" s="8"/>
      <c r="AH481" s="8"/>
      <c r="AI481" s="8"/>
      <c r="AJ481" s="8"/>
      <c r="AK481" s="8"/>
      <c r="AL481" s="142"/>
      <c r="AM481" s="8"/>
      <c r="AN481" s="8"/>
      <c r="AO481" s="8"/>
      <c r="AP481" s="8"/>
      <c r="AQ481" s="8"/>
      <c r="AR481" s="143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9" t="s">
        <v>693</v>
      </c>
      <c r="BG481" s="10"/>
      <c r="BH481" s="10"/>
      <c r="BI481" s="10"/>
      <c r="BJ481" s="10"/>
      <c r="BK481" s="10"/>
      <c r="BL481" s="10"/>
      <c r="BM481" s="10"/>
      <c r="BN481" s="10"/>
      <c r="BO481" s="11"/>
    </row>
    <row r="482" spans="1:67">
      <c r="B482" s="12"/>
      <c r="C482" s="12"/>
      <c r="D482" s="12"/>
      <c r="E482" s="12"/>
      <c r="F482" s="13"/>
      <c r="G482" s="14" t="s">
        <v>3</v>
      </c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6"/>
      <c r="AM482" s="15"/>
      <c r="AN482" s="15"/>
      <c r="AO482" s="15"/>
      <c r="AP482" s="15"/>
      <c r="AQ482" s="15"/>
      <c r="AR482" s="17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8"/>
      <c r="BM482" s="15"/>
      <c r="BN482" s="15"/>
      <c r="BO482" s="15"/>
    </row>
    <row r="483" spans="1:67" ht="15">
      <c r="B483" s="19" t="s">
        <v>4</v>
      </c>
      <c r="C483" s="20" t="s">
        <v>5</v>
      </c>
      <c r="D483" s="20"/>
      <c r="E483" s="21" t="s">
        <v>6</v>
      </c>
      <c r="F483" s="110" t="s">
        <v>135</v>
      </c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24" t="s">
        <v>8</v>
      </c>
      <c r="BG483" s="25"/>
      <c r="BH483" s="25"/>
      <c r="BI483" s="26"/>
      <c r="BJ483" s="31" t="s">
        <v>9</v>
      </c>
      <c r="BK483" s="32"/>
      <c r="BL483" s="29"/>
      <c r="BM483" s="30"/>
      <c r="BN483" s="31" t="s">
        <v>10</v>
      </c>
      <c r="BO483" s="32"/>
    </row>
    <row r="484" spans="1:67" ht="120">
      <c r="B484" s="33"/>
      <c r="C484" s="34" t="s">
        <v>11</v>
      </c>
      <c r="D484" s="35" t="s">
        <v>4</v>
      </c>
      <c r="E484" s="35" t="s">
        <v>12</v>
      </c>
      <c r="F484" s="36" t="s">
        <v>13</v>
      </c>
      <c r="G484" s="36" t="s">
        <v>14</v>
      </c>
      <c r="H484" s="36" t="s">
        <v>15</v>
      </c>
      <c r="I484" s="36" t="s">
        <v>16</v>
      </c>
      <c r="J484" s="36" t="s">
        <v>17</v>
      </c>
      <c r="K484" s="36" t="s">
        <v>18</v>
      </c>
      <c r="L484" s="36" t="s">
        <v>19</v>
      </c>
      <c r="M484" s="36" t="s">
        <v>20</v>
      </c>
      <c r="N484" s="37" t="s">
        <v>21</v>
      </c>
      <c r="O484" s="36" t="s">
        <v>22</v>
      </c>
      <c r="P484" s="36" t="s">
        <v>23</v>
      </c>
      <c r="Q484" s="36" t="s">
        <v>24</v>
      </c>
      <c r="R484" s="36" t="s">
        <v>25</v>
      </c>
      <c r="S484" s="36" t="s">
        <v>26</v>
      </c>
      <c r="T484" s="36" t="s">
        <v>27</v>
      </c>
      <c r="U484" s="36" t="s">
        <v>28</v>
      </c>
      <c r="V484" s="36" t="s">
        <v>29</v>
      </c>
      <c r="W484" s="36" t="s">
        <v>30</v>
      </c>
      <c r="X484" s="38" t="s">
        <v>31</v>
      </c>
      <c r="Y484" s="36" t="s">
        <v>32</v>
      </c>
      <c r="Z484" s="36" t="s">
        <v>33</v>
      </c>
      <c r="AA484" s="36" t="s">
        <v>34</v>
      </c>
      <c r="AB484" s="38" t="s">
        <v>35</v>
      </c>
      <c r="AC484" s="36" t="s">
        <v>36</v>
      </c>
      <c r="AD484" s="39" t="s">
        <v>37</v>
      </c>
      <c r="AE484" s="36" t="s">
        <v>38</v>
      </c>
      <c r="AF484" s="40" t="s">
        <v>39</v>
      </c>
      <c r="AG484" s="40" t="s">
        <v>40</v>
      </c>
      <c r="AH484" s="40" t="s">
        <v>41</v>
      </c>
      <c r="AI484" s="40" t="s">
        <v>42</v>
      </c>
      <c r="AJ484" s="40" t="s">
        <v>43</v>
      </c>
      <c r="AK484" s="40" t="s">
        <v>44</v>
      </c>
      <c r="AL484" s="41" t="s">
        <v>45</v>
      </c>
      <c r="AM484" s="42" t="s">
        <v>46</v>
      </c>
      <c r="AN484" s="43" t="s">
        <v>47</v>
      </c>
      <c r="AO484" s="40" t="s">
        <v>48</v>
      </c>
      <c r="AP484" s="40" t="s">
        <v>49</v>
      </c>
      <c r="AQ484" s="40" t="s">
        <v>50</v>
      </c>
      <c r="AR484" s="44" t="s">
        <v>136</v>
      </c>
      <c r="AS484" s="36" t="s">
        <v>52</v>
      </c>
      <c r="AT484" s="36" t="s">
        <v>53</v>
      </c>
      <c r="AU484" s="36" t="s">
        <v>54</v>
      </c>
      <c r="AV484" s="36" t="s">
        <v>55</v>
      </c>
      <c r="AW484" s="36" t="s">
        <v>56</v>
      </c>
      <c r="AX484" s="36" t="s">
        <v>203</v>
      </c>
      <c r="AY484" s="36" t="s">
        <v>58</v>
      </c>
      <c r="AZ484" s="38" t="s">
        <v>59</v>
      </c>
      <c r="BA484" s="36" t="s">
        <v>60</v>
      </c>
      <c r="BB484" s="36" t="s">
        <v>61</v>
      </c>
      <c r="BC484" s="39" t="s">
        <v>62</v>
      </c>
      <c r="BD484" s="36" t="s">
        <v>63</v>
      </c>
      <c r="BE484" s="36" t="s">
        <v>64</v>
      </c>
      <c r="BF484" s="45" t="s">
        <v>65</v>
      </c>
      <c r="BG484" s="45" t="s">
        <v>66</v>
      </c>
      <c r="BH484" s="45" t="s">
        <v>67</v>
      </c>
      <c r="BI484" s="45" t="s">
        <v>68</v>
      </c>
      <c r="BJ484" s="46" t="s">
        <v>69</v>
      </c>
      <c r="BK484" s="46" t="s">
        <v>70</v>
      </c>
      <c r="BL484" s="47" t="s">
        <v>71</v>
      </c>
      <c r="BM484" s="48" t="s">
        <v>72</v>
      </c>
      <c r="BN484" s="49" t="s">
        <v>69</v>
      </c>
      <c r="BO484" s="50" t="s">
        <v>70</v>
      </c>
    </row>
    <row r="485" spans="1:67">
      <c r="A485" s="86">
        <v>1</v>
      </c>
      <c r="B485" s="51" t="s">
        <v>694</v>
      </c>
      <c r="C485" s="52" t="s">
        <v>74</v>
      </c>
      <c r="D485" s="53" t="s">
        <v>694</v>
      </c>
      <c r="E485" s="115" t="s">
        <v>695</v>
      </c>
      <c r="F485" s="55"/>
      <c r="G485" s="55"/>
      <c r="H485" s="55"/>
      <c r="I485" s="55"/>
      <c r="J485" s="55"/>
      <c r="K485" s="55"/>
      <c r="L485" s="55"/>
      <c r="M485" s="55"/>
      <c r="N485" s="56"/>
      <c r="O485" s="55"/>
      <c r="P485" s="55"/>
      <c r="Q485" s="57"/>
      <c r="R485" s="55"/>
      <c r="S485" s="58"/>
      <c r="T485" s="58"/>
      <c r="U485" s="55"/>
      <c r="V485" s="55"/>
      <c r="W485" s="55"/>
      <c r="X485" s="55">
        <v>1</v>
      </c>
      <c r="Y485" s="55">
        <v>1</v>
      </c>
      <c r="Z485" s="55"/>
      <c r="AA485" s="55">
        <v>1</v>
      </c>
      <c r="AB485" s="55">
        <v>1</v>
      </c>
      <c r="AC485" s="55"/>
      <c r="AD485" s="55">
        <v>1</v>
      </c>
      <c r="AE485" s="57"/>
      <c r="AF485" s="57"/>
      <c r="AG485" s="57"/>
      <c r="AH485" s="55">
        <v>1</v>
      </c>
      <c r="AI485" s="55">
        <v>1</v>
      </c>
      <c r="AJ485" s="55">
        <v>1</v>
      </c>
      <c r="AK485" s="57"/>
      <c r="AL485" s="59"/>
      <c r="AM485" s="57"/>
      <c r="AN485" s="57"/>
      <c r="AO485" s="55"/>
      <c r="AP485" s="55"/>
      <c r="AQ485" s="55">
        <v>1</v>
      </c>
      <c r="AR485" s="60"/>
      <c r="AS485" s="55">
        <v>1</v>
      </c>
      <c r="AT485" s="57"/>
      <c r="AU485" s="57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55"/>
      <c r="BG485" s="62"/>
      <c r="BH485" s="63">
        <f t="shared" ref="BH485:BH514" si="23">SUM(F485:BG485)</f>
        <v>10</v>
      </c>
      <c r="BI485" s="64">
        <v>10</v>
      </c>
      <c r="BJ485" s="62"/>
      <c r="BK485" s="62">
        <f>BH485-BI485</f>
        <v>0</v>
      </c>
      <c r="BL485" s="64"/>
      <c r="BM485" s="65"/>
      <c r="BN485" s="65"/>
      <c r="BO485" s="65"/>
    </row>
    <row r="486" spans="1:67">
      <c r="B486" s="51" t="s">
        <v>696</v>
      </c>
      <c r="C486" s="52" t="s">
        <v>74</v>
      </c>
      <c r="D486" s="53" t="s">
        <v>696</v>
      </c>
      <c r="E486" s="115" t="s">
        <v>697</v>
      </c>
      <c r="F486" s="66"/>
      <c r="G486" s="66"/>
      <c r="H486" s="66"/>
      <c r="I486" s="66"/>
      <c r="J486" s="66"/>
      <c r="K486" s="66"/>
      <c r="L486" s="66"/>
      <c r="M486" s="66"/>
      <c r="N486" s="67"/>
      <c r="O486" s="66"/>
      <c r="P486" s="66"/>
      <c r="Q486" s="66"/>
      <c r="R486" s="66"/>
      <c r="S486" s="66"/>
      <c r="T486" s="66"/>
      <c r="U486" s="66"/>
      <c r="V486" s="66"/>
      <c r="W486" s="66"/>
      <c r="X486" s="66">
        <v>1</v>
      </c>
      <c r="Y486" s="66">
        <v>1</v>
      </c>
      <c r="Z486" s="66"/>
      <c r="AA486" s="66">
        <v>1</v>
      </c>
      <c r="AB486" s="66">
        <v>1</v>
      </c>
      <c r="AC486" s="66"/>
      <c r="AD486" s="66">
        <v>1</v>
      </c>
      <c r="AE486" s="66"/>
      <c r="AF486" s="66"/>
      <c r="AG486" s="66"/>
      <c r="AH486" s="66">
        <v>1</v>
      </c>
      <c r="AI486" s="66">
        <v>1</v>
      </c>
      <c r="AJ486" s="66">
        <v>1</v>
      </c>
      <c r="AK486" s="66"/>
      <c r="AL486" s="66"/>
      <c r="AM486" s="66"/>
      <c r="AN486" s="66"/>
      <c r="AO486" s="66"/>
      <c r="AP486" s="66"/>
      <c r="AQ486" s="66">
        <v>1</v>
      </c>
      <c r="AR486" s="68"/>
      <c r="AS486" s="66">
        <v>1</v>
      </c>
      <c r="AT486" s="66"/>
      <c r="AU486" s="66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55"/>
      <c r="BG486" s="70"/>
      <c r="BH486" s="63">
        <f t="shared" si="23"/>
        <v>10</v>
      </c>
      <c r="BI486" s="63">
        <v>10</v>
      </c>
      <c r="BJ486" s="70"/>
      <c r="BK486" s="62">
        <f t="shared" ref="BK486:BK514" si="24">BH486-BI486</f>
        <v>0</v>
      </c>
      <c r="BL486" s="63"/>
      <c r="BM486" s="71"/>
      <c r="BN486" s="71"/>
      <c r="BO486" s="72"/>
    </row>
    <row r="487" spans="1:67" ht="18.75">
      <c r="B487" s="51" t="s">
        <v>698</v>
      </c>
      <c r="C487" s="73" t="s">
        <v>74</v>
      </c>
      <c r="D487" s="53" t="s">
        <v>698</v>
      </c>
      <c r="E487" s="147" t="s">
        <v>699</v>
      </c>
      <c r="F487" s="66"/>
      <c r="G487" s="66"/>
      <c r="H487" s="66"/>
      <c r="I487" s="66"/>
      <c r="J487" s="66"/>
      <c r="K487" s="66"/>
      <c r="L487" s="66"/>
      <c r="M487" s="66"/>
      <c r="N487" s="67"/>
      <c r="O487" s="66"/>
      <c r="P487" s="66"/>
      <c r="Q487" s="66"/>
      <c r="R487" s="66"/>
      <c r="S487" s="66"/>
      <c r="T487" s="66">
        <v>1</v>
      </c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>
        <v>1</v>
      </c>
      <c r="AJ487" s="66"/>
      <c r="AK487" s="66"/>
      <c r="AL487" s="66"/>
      <c r="AM487" s="66"/>
      <c r="AN487" s="66"/>
      <c r="AO487" s="66"/>
      <c r="AP487" s="66"/>
      <c r="AQ487" s="66"/>
      <c r="AR487" s="68"/>
      <c r="AS487" s="66"/>
      <c r="AT487" s="66"/>
      <c r="AU487" s="66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55"/>
      <c r="BG487" s="70"/>
      <c r="BH487" s="63">
        <f t="shared" si="23"/>
        <v>2</v>
      </c>
      <c r="BI487" s="63">
        <v>1</v>
      </c>
      <c r="BJ487" s="70"/>
      <c r="BK487" s="62">
        <f t="shared" si="24"/>
        <v>1</v>
      </c>
      <c r="BL487" s="63"/>
      <c r="BM487" s="71"/>
      <c r="BN487" s="72"/>
      <c r="BO487" s="71"/>
    </row>
    <row r="488" spans="1:67">
      <c r="B488" s="51" t="s">
        <v>700</v>
      </c>
      <c r="C488" s="73" t="s">
        <v>74</v>
      </c>
      <c r="D488" s="53" t="s">
        <v>700</v>
      </c>
      <c r="E488" s="115" t="s">
        <v>701</v>
      </c>
      <c r="F488" s="66"/>
      <c r="G488" s="66"/>
      <c r="H488" s="66"/>
      <c r="I488" s="66"/>
      <c r="J488" s="66"/>
      <c r="K488" s="66"/>
      <c r="L488" s="66"/>
      <c r="M488" s="66"/>
      <c r="N488" s="67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8"/>
      <c r="AS488" s="66"/>
      <c r="AT488" s="66"/>
      <c r="AU488" s="66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55"/>
      <c r="BG488" s="70">
        <v>2</v>
      </c>
      <c r="BH488" s="63">
        <f t="shared" si="23"/>
        <v>2</v>
      </c>
      <c r="BI488" s="63">
        <v>2</v>
      </c>
      <c r="BJ488" s="70"/>
      <c r="BK488" s="62">
        <f t="shared" si="24"/>
        <v>0</v>
      </c>
      <c r="BL488" s="63"/>
      <c r="BM488" s="71"/>
      <c r="BN488" s="71"/>
      <c r="BO488" s="71"/>
    </row>
    <row r="489" spans="1:67">
      <c r="B489" s="51" t="s">
        <v>702</v>
      </c>
      <c r="C489" s="73" t="s">
        <v>74</v>
      </c>
      <c r="D489" s="53" t="s">
        <v>702</v>
      </c>
      <c r="E489" s="115" t="s">
        <v>703</v>
      </c>
      <c r="F489" s="66"/>
      <c r="G489" s="66"/>
      <c r="H489" s="66"/>
      <c r="I489" s="66"/>
      <c r="J489" s="66"/>
      <c r="K489" s="66"/>
      <c r="L489" s="66"/>
      <c r="M489" s="66"/>
      <c r="N489" s="67"/>
      <c r="O489" s="66"/>
      <c r="P489" s="66"/>
      <c r="Q489" s="66"/>
      <c r="R489" s="66"/>
      <c r="S489" s="66"/>
      <c r="T489" s="66"/>
      <c r="U489" s="66">
        <v>1</v>
      </c>
      <c r="V489" s="66"/>
      <c r="W489" s="66"/>
      <c r="X489" s="66"/>
      <c r="Y489" s="66"/>
      <c r="Z489" s="66"/>
      <c r="AA489" s="66"/>
      <c r="AB489" s="66">
        <v>1</v>
      </c>
      <c r="AC489" s="66"/>
      <c r="AD489" s="66">
        <v>1</v>
      </c>
      <c r="AE489" s="66"/>
      <c r="AF489" s="66"/>
      <c r="AG489" s="66"/>
      <c r="AH489" s="66"/>
      <c r="AI489" s="66">
        <v>1</v>
      </c>
      <c r="AJ489" s="66"/>
      <c r="AK489" s="66"/>
      <c r="AL489" s="66"/>
      <c r="AM489" s="66"/>
      <c r="AN489" s="66"/>
      <c r="AO489" s="66"/>
      <c r="AP489" s="66"/>
      <c r="AQ489" s="66"/>
      <c r="AR489" s="68"/>
      <c r="AS489" s="66"/>
      <c r="AT489" s="66"/>
      <c r="AU489" s="66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55"/>
      <c r="BG489" s="70"/>
      <c r="BH489" s="63">
        <f t="shared" si="23"/>
        <v>4</v>
      </c>
      <c r="BI489" s="63">
        <v>4</v>
      </c>
      <c r="BJ489" s="70"/>
      <c r="BK489" s="62">
        <f t="shared" si="24"/>
        <v>0</v>
      </c>
      <c r="BL489" s="63"/>
      <c r="BM489" s="71"/>
      <c r="BN489" s="71"/>
      <c r="BO489" s="71"/>
    </row>
    <row r="490" spans="1:67">
      <c r="B490" s="51" t="s">
        <v>704</v>
      </c>
      <c r="C490" s="73" t="s">
        <v>74</v>
      </c>
      <c r="D490" s="53" t="s">
        <v>704</v>
      </c>
      <c r="E490" s="115" t="s">
        <v>705</v>
      </c>
      <c r="F490" s="66"/>
      <c r="G490" s="66"/>
      <c r="H490" s="66"/>
      <c r="I490" s="66"/>
      <c r="J490" s="66"/>
      <c r="K490" s="66"/>
      <c r="L490" s="66"/>
      <c r="M490" s="66"/>
      <c r="N490" s="67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8"/>
      <c r="AS490" s="66"/>
      <c r="AT490" s="66"/>
      <c r="AU490" s="66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55"/>
      <c r="BG490" s="70">
        <v>1</v>
      </c>
      <c r="BH490" s="63">
        <f t="shared" si="23"/>
        <v>1</v>
      </c>
      <c r="BI490" s="63">
        <v>1</v>
      </c>
      <c r="BJ490" s="70"/>
      <c r="BK490" s="62">
        <f t="shared" si="24"/>
        <v>0</v>
      </c>
      <c r="BL490" s="63"/>
      <c r="BM490" s="71"/>
      <c r="BN490" s="71"/>
      <c r="BO490" s="71"/>
    </row>
    <row r="491" spans="1:67">
      <c r="B491" s="51" t="s">
        <v>706</v>
      </c>
      <c r="C491" s="73" t="s">
        <v>74</v>
      </c>
      <c r="D491" s="53" t="s">
        <v>706</v>
      </c>
      <c r="E491" s="115" t="s">
        <v>707</v>
      </c>
      <c r="F491" s="66"/>
      <c r="G491" s="66"/>
      <c r="H491" s="66"/>
      <c r="I491" s="66"/>
      <c r="J491" s="66"/>
      <c r="K491" s="66"/>
      <c r="L491" s="66"/>
      <c r="M491" s="66"/>
      <c r="N491" s="67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8"/>
      <c r="AS491" s="66"/>
      <c r="AT491" s="66"/>
      <c r="AU491" s="66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55"/>
      <c r="BG491" s="70">
        <v>3</v>
      </c>
      <c r="BH491" s="63">
        <f t="shared" si="23"/>
        <v>3</v>
      </c>
      <c r="BI491" s="63">
        <v>3</v>
      </c>
      <c r="BJ491" s="70"/>
      <c r="BK491" s="62">
        <f t="shared" si="24"/>
        <v>0</v>
      </c>
      <c r="BL491" s="63"/>
      <c r="BM491" s="71"/>
      <c r="BN491" s="71"/>
      <c r="BO491" s="71"/>
    </row>
    <row r="492" spans="1:67">
      <c r="B492" s="51" t="s">
        <v>708</v>
      </c>
      <c r="C492" s="73" t="s">
        <v>74</v>
      </c>
      <c r="D492" s="53" t="s">
        <v>708</v>
      </c>
      <c r="E492" s="115" t="s">
        <v>709</v>
      </c>
      <c r="F492" s="66"/>
      <c r="G492" s="66"/>
      <c r="H492" s="66"/>
      <c r="I492" s="66"/>
      <c r="J492" s="66"/>
      <c r="K492" s="66"/>
      <c r="L492" s="66"/>
      <c r="M492" s="66"/>
      <c r="N492" s="67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>
        <v>1</v>
      </c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8"/>
      <c r="AS492" s="66"/>
      <c r="AT492" s="66"/>
      <c r="AU492" s="66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55"/>
      <c r="BG492" s="70"/>
      <c r="BH492" s="63">
        <f t="shared" si="23"/>
        <v>1</v>
      </c>
      <c r="BI492" s="63">
        <v>1</v>
      </c>
      <c r="BJ492" s="70"/>
      <c r="BK492" s="62">
        <f t="shared" si="24"/>
        <v>0</v>
      </c>
      <c r="BL492" s="63"/>
      <c r="BM492" s="71"/>
      <c r="BN492" s="71"/>
      <c r="BO492" s="71"/>
    </row>
    <row r="493" spans="1:67">
      <c r="B493" s="51" t="s">
        <v>710</v>
      </c>
      <c r="C493" s="73" t="s">
        <v>74</v>
      </c>
      <c r="D493" s="53" t="s">
        <v>710</v>
      </c>
      <c r="E493" s="115" t="s">
        <v>711</v>
      </c>
      <c r="F493" s="66"/>
      <c r="G493" s="66"/>
      <c r="H493" s="66"/>
      <c r="I493" s="66"/>
      <c r="J493" s="66"/>
      <c r="K493" s="66"/>
      <c r="L493" s="66"/>
      <c r="M493" s="66"/>
      <c r="N493" s="67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8"/>
      <c r="AS493" s="66"/>
      <c r="AT493" s="66"/>
      <c r="AU493" s="66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55"/>
      <c r="BG493" s="70">
        <v>1</v>
      </c>
      <c r="BH493" s="63">
        <f t="shared" si="23"/>
        <v>1</v>
      </c>
      <c r="BI493" s="63">
        <v>1</v>
      </c>
      <c r="BJ493" s="70"/>
      <c r="BK493" s="62">
        <f t="shared" si="24"/>
        <v>0</v>
      </c>
      <c r="BL493" s="63"/>
      <c r="BM493" s="71"/>
      <c r="BN493" s="71"/>
      <c r="BO493" s="71"/>
    </row>
    <row r="494" spans="1:67">
      <c r="B494" s="51" t="s">
        <v>712</v>
      </c>
      <c r="C494" s="73" t="s">
        <v>74</v>
      </c>
      <c r="D494" s="53" t="s">
        <v>712</v>
      </c>
      <c r="E494" s="115" t="s">
        <v>713</v>
      </c>
      <c r="F494" s="66"/>
      <c r="G494" s="66"/>
      <c r="H494" s="66"/>
      <c r="I494" s="66"/>
      <c r="J494" s="66"/>
      <c r="K494" s="66"/>
      <c r="L494" s="66"/>
      <c r="M494" s="66"/>
      <c r="N494" s="67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8"/>
      <c r="AS494" s="66"/>
      <c r="AT494" s="66"/>
      <c r="AU494" s="66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55"/>
      <c r="BG494" s="70">
        <v>1</v>
      </c>
      <c r="BH494" s="63">
        <f t="shared" si="23"/>
        <v>1</v>
      </c>
      <c r="BI494" s="63">
        <v>1</v>
      </c>
      <c r="BJ494" s="70"/>
      <c r="BK494" s="62">
        <f t="shared" si="24"/>
        <v>0</v>
      </c>
      <c r="BL494" s="63"/>
      <c r="BM494" s="71"/>
      <c r="BN494" s="71"/>
      <c r="BO494" s="71"/>
    </row>
    <row r="495" spans="1:67">
      <c r="B495" s="51" t="s">
        <v>714</v>
      </c>
      <c r="C495" s="73" t="s">
        <v>74</v>
      </c>
      <c r="D495" s="53" t="s">
        <v>714</v>
      </c>
      <c r="E495" s="115" t="s">
        <v>715</v>
      </c>
      <c r="F495" s="66"/>
      <c r="G495" s="66"/>
      <c r="H495" s="66"/>
      <c r="I495" s="66"/>
      <c r="J495" s="66"/>
      <c r="K495" s="66"/>
      <c r="L495" s="66"/>
      <c r="M495" s="66"/>
      <c r="N495" s="67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8"/>
      <c r="AS495" s="66"/>
      <c r="AT495" s="66"/>
      <c r="AU495" s="66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>
        <v>1</v>
      </c>
      <c r="BF495" s="55"/>
      <c r="BG495" s="70"/>
      <c r="BH495" s="63">
        <f t="shared" si="23"/>
        <v>1</v>
      </c>
      <c r="BI495" s="63">
        <v>1</v>
      </c>
      <c r="BJ495" s="70"/>
      <c r="BK495" s="62">
        <f t="shared" si="24"/>
        <v>0</v>
      </c>
      <c r="BL495" s="63"/>
      <c r="BM495" s="71"/>
      <c r="BN495" s="71"/>
      <c r="BO495" s="71"/>
    </row>
    <row r="496" spans="1:67">
      <c r="B496" s="51" t="s">
        <v>716</v>
      </c>
      <c r="C496" s="73" t="s">
        <v>74</v>
      </c>
      <c r="D496" s="53" t="s">
        <v>716</v>
      </c>
      <c r="E496" s="115" t="s">
        <v>717</v>
      </c>
      <c r="F496" s="66"/>
      <c r="G496" s="66"/>
      <c r="H496" s="66"/>
      <c r="I496" s="66"/>
      <c r="J496" s="66"/>
      <c r="K496" s="66"/>
      <c r="L496" s="66"/>
      <c r="M496" s="66"/>
      <c r="N496" s="67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8"/>
      <c r="AS496" s="66"/>
      <c r="AT496" s="66"/>
      <c r="AU496" s="66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55"/>
      <c r="BG496" s="70">
        <v>2</v>
      </c>
      <c r="BH496" s="63">
        <f t="shared" si="23"/>
        <v>2</v>
      </c>
      <c r="BI496" s="63">
        <v>2</v>
      </c>
      <c r="BJ496" s="70"/>
      <c r="BK496" s="62">
        <f t="shared" si="24"/>
        <v>0</v>
      </c>
      <c r="BL496" s="63"/>
      <c r="BM496" s="71"/>
      <c r="BN496" s="71"/>
      <c r="BO496" s="71"/>
    </row>
    <row r="497" spans="2:67">
      <c r="B497" s="51" t="s">
        <v>718</v>
      </c>
      <c r="C497" s="73" t="s">
        <v>74</v>
      </c>
      <c r="D497" s="53" t="s">
        <v>718</v>
      </c>
      <c r="E497" s="115" t="s">
        <v>719</v>
      </c>
      <c r="F497" s="66"/>
      <c r="G497" s="66"/>
      <c r="H497" s="66"/>
      <c r="I497" s="66"/>
      <c r="J497" s="66"/>
      <c r="K497" s="66"/>
      <c r="L497" s="66"/>
      <c r="M497" s="66"/>
      <c r="N497" s="67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8"/>
      <c r="AS497" s="66"/>
      <c r="AT497" s="66"/>
      <c r="AU497" s="66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55"/>
      <c r="BG497" s="70">
        <v>1</v>
      </c>
      <c r="BH497" s="63">
        <f t="shared" si="23"/>
        <v>1</v>
      </c>
      <c r="BI497" s="63">
        <v>1</v>
      </c>
      <c r="BJ497" s="70"/>
      <c r="BK497" s="62">
        <f t="shared" si="24"/>
        <v>0</v>
      </c>
      <c r="BL497" s="63"/>
      <c r="BM497" s="71"/>
      <c r="BN497" s="71"/>
      <c r="BO497" s="71"/>
    </row>
    <row r="498" spans="2:67">
      <c r="B498" s="51" t="s">
        <v>720</v>
      </c>
      <c r="C498" s="73" t="s">
        <v>74</v>
      </c>
      <c r="D498" s="53" t="s">
        <v>720</v>
      </c>
      <c r="E498" s="115" t="s">
        <v>721</v>
      </c>
      <c r="F498" s="66"/>
      <c r="G498" s="66"/>
      <c r="H498" s="66"/>
      <c r="I498" s="66"/>
      <c r="J498" s="66"/>
      <c r="K498" s="66"/>
      <c r="L498" s="66"/>
      <c r="M498" s="66"/>
      <c r="N498" s="67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8"/>
      <c r="AS498" s="66"/>
      <c r="AT498" s="66"/>
      <c r="AU498" s="66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55"/>
      <c r="BG498" s="70">
        <v>2</v>
      </c>
      <c r="BH498" s="63">
        <f t="shared" si="23"/>
        <v>2</v>
      </c>
      <c r="BI498" s="63">
        <v>2</v>
      </c>
      <c r="BJ498" s="70"/>
      <c r="BK498" s="62">
        <f t="shared" si="24"/>
        <v>0</v>
      </c>
      <c r="BL498" s="63"/>
      <c r="BM498" s="71"/>
      <c r="BN498" s="71"/>
      <c r="BO498" s="71"/>
    </row>
    <row r="499" spans="2:67">
      <c r="B499" s="51" t="s">
        <v>722</v>
      </c>
      <c r="C499" s="73" t="s">
        <v>74</v>
      </c>
      <c r="D499" s="53" t="s">
        <v>722</v>
      </c>
      <c r="E499" s="115" t="s">
        <v>723</v>
      </c>
      <c r="F499" s="66"/>
      <c r="G499" s="66"/>
      <c r="H499" s="66"/>
      <c r="I499" s="66"/>
      <c r="J499" s="66"/>
      <c r="K499" s="66"/>
      <c r="L499" s="66"/>
      <c r="M499" s="66"/>
      <c r="N499" s="67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8"/>
      <c r="AS499" s="66"/>
      <c r="AT499" s="66"/>
      <c r="AU499" s="66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55"/>
      <c r="BG499" s="70">
        <v>4</v>
      </c>
      <c r="BH499" s="63">
        <f t="shared" si="23"/>
        <v>4</v>
      </c>
      <c r="BI499" s="63">
        <v>4</v>
      </c>
      <c r="BJ499" s="70"/>
      <c r="BK499" s="62">
        <f t="shared" si="24"/>
        <v>0</v>
      </c>
      <c r="BL499" s="63"/>
      <c r="BM499" s="71"/>
      <c r="BN499" s="71"/>
      <c r="BO499" s="71"/>
    </row>
    <row r="500" spans="2:67">
      <c r="B500" s="51" t="s">
        <v>724</v>
      </c>
      <c r="C500" s="73" t="s">
        <v>74</v>
      </c>
      <c r="D500" s="53" t="s">
        <v>724</v>
      </c>
      <c r="E500" s="115" t="s">
        <v>725</v>
      </c>
      <c r="F500" s="66"/>
      <c r="G500" s="66"/>
      <c r="H500" s="66"/>
      <c r="I500" s="66"/>
      <c r="J500" s="66"/>
      <c r="K500" s="66"/>
      <c r="L500" s="66"/>
      <c r="M500" s="66"/>
      <c r="N500" s="67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8"/>
      <c r="AS500" s="66"/>
      <c r="AT500" s="66"/>
      <c r="AU500" s="66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55"/>
      <c r="BG500" s="70">
        <v>4</v>
      </c>
      <c r="BH500" s="63">
        <f t="shared" si="23"/>
        <v>4</v>
      </c>
      <c r="BI500" s="63">
        <v>4</v>
      </c>
      <c r="BJ500" s="70"/>
      <c r="BK500" s="62">
        <f t="shared" si="24"/>
        <v>0</v>
      </c>
      <c r="BL500" s="63"/>
      <c r="BM500" s="71"/>
      <c r="BN500" s="71"/>
      <c r="BO500" s="71"/>
    </row>
    <row r="501" spans="2:67">
      <c r="B501" s="51" t="s">
        <v>726</v>
      </c>
      <c r="C501" s="52" t="s">
        <v>74</v>
      </c>
      <c r="D501" s="53" t="s">
        <v>726</v>
      </c>
      <c r="E501" s="148" t="s">
        <v>727</v>
      </c>
      <c r="F501" s="66"/>
      <c r="G501" s="66"/>
      <c r="H501" s="66"/>
      <c r="I501" s="66"/>
      <c r="J501" s="66"/>
      <c r="K501" s="66"/>
      <c r="L501" s="66"/>
      <c r="M501" s="66"/>
      <c r="N501" s="67"/>
      <c r="O501" s="66"/>
      <c r="P501" s="66"/>
      <c r="Q501" s="66"/>
      <c r="R501" s="66"/>
      <c r="S501" s="66"/>
      <c r="T501" s="66">
        <v>5</v>
      </c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8"/>
      <c r="AS501" s="66"/>
      <c r="AT501" s="66"/>
      <c r="AU501" s="66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55"/>
      <c r="BG501" s="70"/>
      <c r="BH501" s="63">
        <f t="shared" si="23"/>
        <v>5</v>
      </c>
      <c r="BI501" s="63">
        <v>5</v>
      </c>
      <c r="BJ501" s="70"/>
      <c r="BK501" s="62">
        <f t="shared" si="24"/>
        <v>0</v>
      </c>
      <c r="BL501" s="63"/>
      <c r="BM501" s="71"/>
      <c r="BN501" s="71"/>
      <c r="BO501" s="71"/>
    </row>
    <row r="502" spans="2:67">
      <c r="B502" s="51" t="s">
        <v>728</v>
      </c>
      <c r="C502" s="73" t="s">
        <v>74</v>
      </c>
      <c r="D502" s="53" t="s">
        <v>728</v>
      </c>
      <c r="E502" s="115" t="s">
        <v>729</v>
      </c>
      <c r="F502" s="66"/>
      <c r="G502" s="66"/>
      <c r="H502" s="66"/>
      <c r="I502" s="66"/>
      <c r="J502" s="66"/>
      <c r="K502" s="66"/>
      <c r="L502" s="66"/>
      <c r="M502" s="66"/>
      <c r="N502" s="67"/>
      <c r="O502" s="66"/>
      <c r="P502" s="66"/>
      <c r="Q502" s="66"/>
      <c r="R502" s="66"/>
      <c r="S502" s="66"/>
      <c r="T502" s="66"/>
      <c r="U502" s="66">
        <v>1</v>
      </c>
      <c r="V502" s="66">
        <v>1</v>
      </c>
      <c r="W502" s="66">
        <v>1</v>
      </c>
      <c r="X502" s="66">
        <v>1</v>
      </c>
      <c r="Y502" s="66">
        <v>1</v>
      </c>
      <c r="Z502" s="66"/>
      <c r="AA502" s="66">
        <v>1</v>
      </c>
      <c r="AB502" s="66">
        <v>1</v>
      </c>
      <c r="AC502" s="66">
        <v>1</v>
      </c>
      <c r="AD502" s="66">
        <v>1</v>
      </c>
      <c r="AE502" s="66"/>
      <c r="AF502" s="66">
        <v>1</v>
      </c>
      <c r="AG502" s="66"/>
      <c r="AH502" s="66">
        <v>1</v>
      </c>
      <c r="AI502" s="66">
        <v>1</v>
      </c>
      <c r="AJ502" s="66"/>
      <c r="AK502" s="66"/>
      <c r="AL502" s="66"/>
      <c r="AM502" s="66"/>
      <c r="AN502" s="66">
        <v>1</v>
      </c>
      <c r="AO502" s="66"/>
      <c r="AP502" s="66"/>
      <c r="AQ502" s="66">
        <v>1</v>
      </c>
      <c r="AR502" s="68"/>
      <c r="AS502" s="66">
        <v>1</v>
      </c>
      <c r="AT502" s="66">
        <v>2</v>
      </c>
      <c r="AU502" s="66">
        <v>1</v>
      </c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55"/>
      <c r="BG502" s="70">
        <v>16</v>
      </c>
      <c r="BH502" s="63">
        <f t="shared" si="23"/>
        <v>34</v>
      </c>
      <c r="BI502" s="63">
        <v>34</v>
      </c>
      <c r="BJ502" s="70"/>
      <c r="BK502" s="62">
        <f t="shared" si="24"/>
        <v>0</v>
      </c>
      <c r="BL502" s="63"/>
      <c r="BM502" s="71"/>
      <c r="BN502" s="71"/>
      <c r="BO502" s="71"/>
    </row>
    <row r="503" spans="2:67" ht="15">
      <c r="B503" s="51" t="s">
        <v>730</v>
      </c>
      <c r="C503" s="73" t="s">
        <v>74</v>
      </c>
      <c r="D503" s="53" t="s">
        <v>730</v>
      </c>
      <c r="E503" s="149" t="s">
        <v>731</v>
      </c>
      <c r="F503" s="66"/>
      <c r="G503" s="66"/>
      <c r="H503" s="66"/>
      <c r="I503" s="66"/>
      <c r="J503" s="66"/>
      <c r="K503" s="66"/>
      <c r="L503" s="66"/>
      <c r="M503" s="66"/>
      <c r="N503" s="67">
        <v>1</v>
      </c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8"/>
      <c r="AS503" s="66"/>
      <c r="AT503" s="66"/>
      <c r="AU503" s="66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55"/>
      <c r="BG503" s="70"/>
      <c r="BH503" s="63">
        <f t="shared" si="23"/>
        <v>1</v>
      </c>
      <c r="BI503" s="63">
        <v>1</v>
      </c>
      <c r="BJ503" s="70"/>
      <c r="BK503" s="62">
        <f t="shared" si="24"/>
        <v>0</v>
      </c>
      <c r="BL503" s="63"/>
      <c r="BM503" s="71"/>
      <c r="BN503" s="71"/>
      <c r="BO503" s="71"/>
    </row>
    <row r="504" spans="2:67">
      <c r="B504" s="51" t="s">
        <v>732</v>
      </c>
      <c r="C504" s="73" t="s">
        <v>74</v>
      </c>
      <c r="D504" s="53" t="s">
        <v>732</v>
      </c>
      <c r="E504" s="117" t="s">
        <v>733</v>
      </c>
      <c r="F504" s="66"/>
      <c r="G504" s="66"/>
      <c r="H504" s="66"/>
      <c r="I504" s="66"/>
      <c r="J504" s="66"/>
      <c r="K504" s="66"/>
      <c r="L504" s="66"/>
      <c r="M504" s="66"/>
      <c r="N504" s="67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8"/>
      <c r="AS504" s="66"/>
      <c r="AT504" s="66"/>
      <c r="AU504" s="66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55"/>
      <c r="BG504" s="70">
        <v>40</v>
      </c>
      <c r="BH504" s="63">
        <f t="shared" si="23"/>
        <v>40</v>
      </c>
      <c r="BI504" s="63">
        <v>40</v>
      </c>
      <c r="BJ504" s="70"/>
      <c r="BK504" s="62">
        <f t="shared" si="24"/>
        <v>0</v>
      </c>
      <c r="BL504" s="63"/>
      <c r="BM504" s="71"/>
      <c r="BN504" s="71"/>
      <c r="BO504" s="71"/>
    </row>
    <row r="505" spans="2:67">
      <c r="B505" s="51" t="s">
        <v>734</v>
      </c>
      <c r="C505" s="73" t="s">
        <v>74</v>
      </c>
      <c r="D505" s="53" t="s">
        <v>734</v>
      </c>
      <c r="E505" s="117" t="s">
        <v>735</v>
      </c>
      <c r="F505" s="66"/>
      <c r="G505" s="66"/>
      <c r="H505" s="66"/>
      <c r="I505" s="66"/>
      <c r="J505" s="66"/>
      <c r="K505" s="66"/>
      <c r="L505" s="66"/>
      <c r="M505" s="66"/>
      <c r="N505" s="67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8"/>
      <c r="AS505" s="66"/>
      <c r="AT505" s="66"/>
      <c r="AU505" s="66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55"/>
      <c r="BG505" s="70">
        <v>38</v>
      </c>
      <c r="BH505" s="63">
        <f t="shared" si="23"/>
        <v>38</v>
      </c>
      <c r="BI505" s="63">
        <v>38</v>
      </c>
      <c r="BJ505" s="70"/>
      <c r="BK505" s="62">
        <f t="shared" si="24"/>
        <v>0</v>
      </c>
      <c r="BL505" s="63"/>
      <c r="BM505" s="71"/>
      <c r="BN505" s="71"/>
      <c r="BO505" s="71"/>
    </row>
    <row r="506" spans="2:67">
      <c r="B506" s="51" t="s">
        <v>736</v>
      </c>
      <c r="C506" s="73" t="s">
        <v>74</v>
      </c>
      <c r="D506" s="53" t="s">
        <v>736</v>
      </c>
      <c r="E506" s="117" t="s">
        <v>737</v>
      </c>
      <c r="F506" s="66"/>
      <c r="G506" s="66"/>
      <c r="H506" s="66"/>
      <c r="I506" s="66"/>
      <c r="J506" s="66"/>
      <c r="K506" s="66"/>
      <c r="L506" s="66"/>
      <c r="M506" s="66"/>
      <c r="N506" s="67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8"/>
      <c r="AS506" s="66"/>
      <c r="AT506" s="66"/>
      <c r="AU506" s="66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55"/>
      <c r="BG506" s="70">
        <v>7</v>
      </c>
      <c r="BH506" s="63">
        <f t="shared" si="23"/>
        <v>7</v>
      </c>
      <c r="BI506" s="63">
        <v>7</v>
      </c>
      <c r="BJ506" s="70"/>
      <c r="BK506" s="62">
        <f t="shared" si="24"/>
        <v>0</v>
      </c>
      <c r="BL506" s="63"/>
      <c r="BM506" s="71"/>
      <c r="BN506" s="71"/>
      <c r="BO506" s="71"/>
    </row>
    <row r="507" spans="2:67">
      <c r="B507" s="51" t="s">
        <v>738</v>
      </c>
      <c r="C507" s="73" t="s">
        <v>74</v>
      </c>
      <c r="D507" s="53" t="s">
        <v>738</v>
      </c>
      <c r="E507" s="117" t="s">
        <v>739</v>
      </c>
      <c r="F507" s="66"/>
      <c r="G507" s="66"/>
      <c r="H507" s="66"/>
      <c r="I507" s="66"/>
      <c r="J507" s="66"/>
      <c r="K507" s="66"/>
      <c r="L507" s="66"/>
      <c r="M507" s="66"/>
      <c r="N507" s="67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8"/>
      <c r="AS507" s="66"/>
      <c r="AT507" s="66"/>
      <c r="AU507" s="66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55"/>
      <c r="BG507" s="70">
        <v>4</v>
      </c>
      <c r="BH507" s="63">
        <f t="shared" si="23"/>
        <v>4</v>
      </c>
      <c r="BI507" s="63">
        <v>4</v>
      </c>
      <c r="BJ507" s="70"/>
      <c r="BK507" s="62">
        <f t="shared" si="24"/>
        <v>0</v>
      </c>
      <c r="BL507" s="63"/>
      <c r="BM507" s="71"/>
      <c r="BN507" s="71"/>
      <c r="BO507" s="71"/>
    </row>
    <row r="508" spans="2:67">
      <c r="B508" s="51" t="s">
        <v>740</v>
      </c>
      <c r="C508" s="73" t="s">
        <v>74</v>
      </c>
      <c r="D508" s="53" t="s">
        <v>740</v>
      </c>
      <c r="E508" s="117" t="s">
        <v>741</v>
      </c>
      <c r="F508" s="66"/>
      <c r="G508" s="66"/>
      <c r="H508" s="66"/>
      <c r="I508" s="66"/>
      <c r="J508" s="66"/>
      <c r="K508" s="66"/>
      <c r="L508" s="66"/>
      <c r="M508" s="66"/>
      <c r="N508" s="67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8"/>
      <c r="AS508" s="66"/>
      <c r="AT508" s="66"/>
      <c r="AU508" s="66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55"/>
      <c r="BG508" s="70">
        <v>4</v>
      </c>
      <c r="BH508" s="63">
        <f t="shared" si="23"/>
        <v>4</v>
      </c>
      <c r="BI508" s="63">
        <v>4</v>
      </c>
      <c r="BJ508" s="70"/>
      <c r="BK508" s="62">
        <f t="shared" si="24"/>
        <v>0</v>
      </c>
      <c r="BL508" s="63"/>
      <c r="BM508" s="71"/>
      <c r="BN508" s="71"/>
      <c r="BO508" s="71"/>
    </row>
    <row r="509" spans="2:67">
      <c r="B509" s="51" t="s">
        <v>742</v>
      </c>
      <c r="C509" s="73" t="s">
        <v>74</v>
      </c>
      <c r="D509" s="53" t="s">
        <v>742</v>
      </c>
      <c r="E509" s="117" t="s">
        <v>743</v>
      </c>
      <c r="F509" s="66"/>
      <c r="G509" s="66"/>
      <c r="H509" s="66"/>
      <c r="I509" s="66"/>
      <c r="J509" s="66"/>
      <c r="K509" s="66"/>
      <c r="L509" s="66"/>
      <c r="M509" s="66"/>
      <c r="N509" s="67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75"/>
      <c r="AM509" s="66"/>
      <c r="AN509" s="66"/>
      <c r="AO509" s="66"/>
      <c r="AP509" s="66"/>
      <c r="AQ509" s="66"/>
      <c r="AR509" s="68"/>
      <c r="AS509" s="66"/>
      <c r="AT509" s="66"/>
      <c r="AU509" s="66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55"/>
      <c r="BG509" s="70">
        <v>1</v>
      </c>
      <c r="BH509" s="63">
        <f t="shared" si="23"/>
        <v>1</v>
      </c>
      <c r="BI509" s="63">
        <v>1</v>
      </c>
      <c r="BJ509" s="70"/>
      <c r="BK509" s="62">
        <f t="shared" si="24"/>
        <v>0</v>
      </c>
      <c r="BL509" s="63"/>
      <c r="BM509" s="71"/>
      <c r="BN509" s="71"/>
      <c r="BO509" s="71"/>
    </row>
    <row r="510" spans="2:67">
      <c r="B510" s="51" t="s">
        <v>744</v>
      </c>
      <c r="C510" s="73" t="s">
        <v>74</v>
      </c>
      <c r="D510" s="53" t="s">
        <v>744</v>
      </c>
      <c r="E510" s="117" t="s">
        <v>745</v>
      </c>
      <c r="F510" s="66"/>
      <c r="G510" s="66"/>
      <c r="H510" s="66"/>
      <c r="I510" s="66"/>
      <c r="J510" s="66"/>
      <c r="K510" s="66"/>
      <c r="L510" s="66"/>
      <c r="M510" s="66"/>
      <c r="N510" s="67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75"/>
      <c r="AM510" s="66"/>
      <c r="AN510" s="66"/>
      <c r="AO510" s="66"/>
      <c r="AP510" s="66"/>
      <c r="AQ510" s="66"/>
      <c r="AR510" s="68"/>
      <c r="AS510" s="66"/>
      <c r="AT510" s="66"/>
      <c r="AU510" s="66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55"/>
      <c r="BG510" s="70">
        <v>1</v>
      </c>
      <c r="BH510" s="63">
        <f t="shared" si="23"/>
        <v>1</v>
      </c>
      <c r="BI510" s="63">
        <v>1</v>
      </c>
      <c r="BJ510" s="70"/>
      <c r="BK510" s="62">
        <f t="shared" si="24"/>
        <v>0</v>
      </c>
      <c r="BL510" s="63"/>
      <c r="BM510" s="71"/>
      <c r="BN510" s="71"/>
      <c r="BO510" s="71"/>
    </row>
    <row r="511" spans="2:67">
      <c r="B511" s="51" t="s">
        <v>746</v>
      </c>
      <c r="C511" s="73" t="s">
        <v>74</v>
      </c>
      <c r="D511" s="53" t="s">
        <v>746</v>
      </c>
      <c r="E511" s="117" t="s">
        <v>747</v>
      </c>
      <c r="F511" s="66"/>
      <c r="G511" s="66"/>
      <c r="H511" s="66"/>
      <c r="I511" s="66"/>
      <c r="J511" s="66"/>
      <c r="K511" s="66"/>
      <c r="L511" s="66"/>
      <c r="M511" s="66"/>
      <c r="N511" s="67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8"/>
      <c r="AS511" s="66"/>
      <c r="AT511" s="66"/>
      <c r="AU511" s="66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55"/>
      <c r="BG511" s="70">
        <v>4</v>
      </c>
      <c r="BH511" s="63">
        <f t="shared" si="23"/>
        <v>4</v>
      </c>
      <c r="BI511" s="63">
        <v>4</v>
      </c>
      <c r="BJ511" s="70"/>
      <c r="BK511" s="62">
        <f t="shared" si="24"/>
        <v>0</v>
      </c>
      <c r="BL511" s="63"/>
      <c r="BM511" s="71"/>
      <c r="BN511" s="65"/>
      <c r="BO511" s="65"/>
    </row>
    <row r="512" spans="2:67">
      <c r="B512" s="51" t="s">
        <v>748</v>
      </c>
      <c r="C512" s="73" t="s">
        <v>74</v>
      </c>
      <c r="D512" s="53" t="s">
        <v>748</v>
      </c>
      <c r="E512" s="117" t="s">
        <v>749</v>
      </c>
      <c r="F512" s="55"/>
      <c r="G512" s="66"/>
      <c r="H512" s="66"/>
      <c r="I512" s="66"/>
      <c r="J512" s="66"/>
      <c r="K512" s="66"/>
      <c r="L512" s="66"/>
      <c r="M512" s="66"/>
      <c r="N512" s="67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75"/>
      <c r="AM512" s="66"/>
      <c r="AN512" s="66"/>
      <c r="AO512" s="66"/>
      <c r="AP512" s="66"/>
      <c r="AQ512" s="66"/>
      <c r="AR512" s="68"/>
      <c r="AS512" s="66"/>
      <c r="AT512" s="66"/>
      <c r="AU512" s="66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55"/>
      <c r="BG512" s="70">
        <v>1</v>
      </c>
      <c r="BH512" s="63">
        <f t="shared" si="23"/>
        <v>1</v>
      </c>
      <c r="BI512" s="63">
        <v>1</v>
      </c>
      <c r="BJ512" s="70"/>
      <c r="BK512" s="62">
        <f t="shared" si="24"/>
        <v>0</v>
      </c>
      <c r="BL512" s="63"/>
      <c r="BM512" s="71"/>
      <c r="BN512" s="65"/>
      <c r="BO512" s="65"/>
    </row>
    <row r="513" spans="2:67">
      <c r="B513" s="51" t="s">
        <v>750</v>
      </c>
      <c r="C513" s="73" t="s">
        <v>74</v>
      </c>
      <c r="D513" s="53" t="s">
        <v>750</v>
      </c>
      <c r="E513" s="117" t="s">
        <v>751</v>
      </c>
      <c r="F513" s="66"/>
      <c r="G513" s="66"/>
      <c r="H513" s="66"/>
      <c r="I513" s="66"/>
      <c r="J513" s="66"/>
      <c r="K513" s="66"/>
      <c r="L513" s="66"/>
      <c r="M513" s="66"/>
      <c r="N513" s="67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8"/>
      <c r="AS513" s="66"/>
      <c r="AT513" s="66"/>
      <c r="AU513" s="66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55"/>
      <c r="BG513" s="70">
        <v>5</v>
      </c>
      <c r="BH513" s="63">
        <f t="shared" si="23"/>
        <v>5</v>
      </c>
      <c r="BI513" s="63">
        <v>5</v>
      </c>
      <c r="BJ513" s="70"/>
      <c r="BK513" s="62">
        <f t="shared" si="24"/>
        <v>0</v>
      </c>
      <c r="BL513" s="63"/>
      <c r="BM513" s="71"/>
      <c r="BN513" s="71"/>
      <c r="BO513" s="71"/>
    </row>
    <row r="514" spans="2:67">
      <c r="B514" s="51" t="s">
        <v>752</v>
      </c>
      <c r="C514" s="73" t="s">
        <v>74</v>
      </c>
      <c r="D514" s="53" t="s">
        <v>752</v>
      </c>
      <c r="E514" s="117" t="s">
        <v>753</v>
      </c>
      <c r="F514" s="55"/>
      <c r="G514" s="55"/>
      <c r="H514" s="55"/>
      <c r="I514" s="55"/>
      <c r="J514" s="55"/>
      <c r="K514" s="55"/>
      <c r="L514" s="55"/>
      <c r="M514" s="55"/>
      <c r="N514" s="56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76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70">
        <v>4</v>
      </c>
      <c r="BH514" s="63">
        <f t="shared" si="23"/>
        <v>4</v>
      </c>
      <c r="BI514" s="63">
        <v>4</v>
      </c>
      <c r="BJ514" s="70"/>
      <c r="BK514" s="62">
        <f t="shared" si="24"/>
        <v>0</v>
      </c>
      <c r="BL514" s="63"/>
      <c r="BM514" s="71"/>
      <c r="BN514" s="65"/>
      <c r="BO514" s="65"/>
    </row>
    <row r="515" spans="2:67">
      <c r="B515" s="87"/>
      <c r="C515" s="87"/>
      <c r="D515" s="87"/>
      <c r="E515" s="87"/>
    </row>
    <row r="516" spans="2:67">
      <c r="B516" s="87"/>
      <c r="C516" s="87"/>
      <c r="D516" s="87"/>
      <c r="E516" s="87"/>
    </row>
    <row r="517" spans="2:67">
      <c r="B517" s="87"/>
      <c r="C517" s="87"/>
      <c r="D517" s="87"/>
      <c r="E517" s="87"/>
    </row>
    <row r="518" spans="2:67">
      <c r="B518" s="87"/>
      <c r="C518" s="87"/>
      <c r="D518" s="87"/>
      <c r="E518" s="87"/>
    </row>
    <row r="519" spans="2:67">
      <c r="B519" s="87"/>
      <c r="C519" s="87"/>
      <c r="D519" s="87"/>
      <c r="E519" s="87"/>
    </row>
    <row r="520" spans="2:67">
      <c r="B520" s="87"/>
      <c r="C520" s="87"/>
      <c r="D520" s="87"/>
      <c r="E520" s="87"/>
    </row>
    <row r="521" spans="2:67">
      <c r="B521" s="87"/>
      <c r="C521" s="87"/>
      <c r="D521" s="87"/>
      <c r="E521" s="87"/>
    </row>
    <row r="522" spans="2:67">
      <c r="B522" s="87"/>
      <c r="C522" s="87"/>
      <c r="D522" s="87"/>
      <c r="E522" s="87"/>
    </row>
    <row r="523" spans="2:67">
      <c r="B523" s="87"/>
      <c r="C523" s="87"/>
      <c r="D523" s="87"/>
      <c r="E523" s="87"/>
    </row>
    <row r="524" spans="2:67">
      <c r="B524" s="87"/>
      <c r="C524" s="87"/>
      <c r="D524" s="87"/>
      <c r="E524" s="87"/>
    </row>
    <row r="525" spans="2:67">
      <c r="B525" s="87"/>
      <c r="C525" s="87"/>
      <c r="D525" s="87"/>
      <c r="E525" s="87"/>
    </row>
    <row r="526" spans="2:67">
      <c r="B526" s="87"/>
      <c r="C526" s="87"/>
      <c r="D526" s="87"/>
      <c r="E526" s="87"/>
    </row>
    <row r="527" spans="2:67">
      <c r="B527" s="87"/>
      <c r="C527" s="87"/>
      <c r="D527" s="87"/>
      <c r="E527" s="87"/>
    </row>
    <row r="528" spans="2:67">
      <c r="B528" s="87"/>
      <c r="C528" s="87"/>
      <c r="D528" s="87"/>
      <c r="E528" s="87"/>
    </row>
    <row r="529" spans="2:67">
      <c r="B529" s="87"/>
      <c r="C529" s="87"/>
      <c r="D529" s="87"/>
      <c r="E529" s="87"/>
    </row>
    <row r="530" spans="2:67">
      <c r="B530" s="87"/>
      <c r="C530" s="87"/>
      <c r="D530" s="87"/>
      <c r="E530" s="87"/>
    </row>
    <row r="531" spans="2:67">
      <c r="B531" s="87"/>
      <c r="C531" s="87"/>
      <c r="D531" s="87"/>
      <c r="E531" s="87"/>
    </row>
    <row r="532" spans="2:67">
      <c r="B532" s="87"/>
      <c r="C532" s="87"/>
      <c r="D532" s="87"/>
      <c r="E532" s="87"/>
    </row>
    <row r="533" spans="2:67">
      <c r="B533" s="87"/>
      <c r="C533" s="87"/>
      <c r="D533" s="87"/>
      <c r="E533" s="87"/>
    </row>
    <row r="534" spans="2:67">
      <c r="B534" s="87"/>
      <c r="C534" s="87"/>
      <c r="D534" s="87"/>
      <c r="E534" s="87"/>
    </row>
    <row r="535" spans="2:67">
      <c r="B535" s="87"/>
      <c r="C535" s="87"/>
      <c r="D535" s="87"/>
      <c r="E535" s="87"/>
    </row>
    <row r="536" spans="2:67">
      <c r="B536" s="87"/>
      <c r="C536" s="87"/>
      <c r="D536" s="87"/>
      <c r="E536" s="87"/>
    </row>
    <row r="537" spans="2:67">
      <c r="B537" s="87"/>
      <c r="C537" s="87"/>
      <c r="D537" s="87"/>
      <c r="E537" s="87"/>
    </row>
    <row r="538" spans="2:67">
      <c r="B538" s="87"/>
      <c r="C538" s="87"/>
      <c r="D538" s="87"/>
      <c r="E538" s="87"/>
    </row>
    <row r="539" spans="2:67">
      <c r="B539" s="87"/>
      <c r="C539" s="87"/>
      <c r="D539" s="87"/>
      <c r="E539" s="87"/>
    </row>
    <row r="540" spans="2:67">
      <c r="B540" s="87"/>
      <c r="C540" s="87"/>
      <c r="D540" s="87"/>
      <c r="E540" s="87"/>
    </row>
    <row r="541" spans="2:67">
      <c r="B541" s="2" t="s">
        <v>1</v>
      </c>
      <c r="C541" s="2"/>
      <c r="D541" s="2"/>
      <c r="E541" s="2"/>
      <c r="F541" s="3"/>
      <c r="G541" s="4"/>
      <c r="H541" s="4"/>
      <c r="I541" s="4"/>
      <c r="J541" s="4"/>
      <c r="K541" s="4"/>
      <c r="L541" s="4"/>
      <c r="M541" s="4"/>
      <c r="N541" s="107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5"/>
      <c r="AE541" s="5"/>
      <c r="AF541" s="5"/>
      <c r="AG541" s="5"/>
      <c r="AH541" s="5"/>
      <c r="AI541" s="5"/>
      <c r="AJ541" s="5"/>
      <c r="AK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7"/>
      <c r="BI541" s="7"/>
      <c r="BJ541" s="5"/>
      <c r="BK541" s="5"/>
      <c r="BM541" s="5"/>
      <c r="BN541" s="5"/>
      <c r="BO541" s="5"/>
    </row>
    <row r="542" spans="2:67" ht="18.75">
      <c r="B542" s="2"/>
      <c r="C542" s="2"/>
      <c r="D542" s="2"/>
      <c r="E542" s="2"/>
      <c r="F542" s="139" t="s">
        <v>0</v>
      </c>
      <c r="G542" s="139"/>
      <c r="H542" s="139"/>
      <c r="I542" s="139"/>
      <c r="J542" s="139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40"/>
      <c r="Z542" s="140"/>
      <c r="AA542" s="140"/>
      <c r="AB542" s="140"/>
      <c r="AC542" s="140"/>
      <c r="AD542" s="140"/>
      <c r="AE542" s="141"/>
      <c r="AF542" s="8"/>
      <c r="AG542" s="8"/>
      <c r="AH542" s="8"/>
      <c r="AI542" s="8"/>
      <c r="AJ542" s="8"/>
      <c r="AK542" s="8"/>
      <c r="AL542" s="142"/>
      <c r="AM542" s="8"/>
      <c r="AN542" s="8"/>
      <c r="AO542" s="8"/>
      <c r="AP542" s="8"/>
      <c r="AQ542" s="8"/>
      <c r="AR542" s="143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9" t="s">
        <v>754</v>
      </c>
      <c r="BG542" s="10"/>
      <c r="BH542" s="10"/>
      <c r="BI542" s="10"/>
      <c r="BJ542" s="10"/>
      <c r="BK542" s="10"/>
      <c r="BL542" s="10"/>
      <c r="BM542" s="10"/>
      <c r="BN542" s="10"/>
      <c r="BO542" s="11"/>
    </row>
    <row r="543" spans="2:67">
      <c r="B543" s="12"/>
      <c r="C543" s="12"/>
      <c r="D543" s="12"/>
      <c r="E543" s="12"/>
      <c r="F543" s="13"/>
      <c r="G543" s="14" t="s">
        <v>3</v>
      </c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6"/>
      <c r="AM543" s="15"/>
      <c r="AN543" s="15"/>
      <c r="AO543" s="15"/>
      <c r="AP543" s="15"/>
      <c r="AQ543" s="15"/>
      <c r="AR543" s="17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8"/>
      <c r="BM543" s="15"/>
      <c r="BN543" s="15"/>
      <c r="BO543" s="15"/>
    </row>
    <row r="544" spans="2:67" ht="15">
      <c r="B544" s="19" t="s">
        <v>4</v>
      </c>
      <c r="C544" s="20" t="s">
        <v>5</v>
      </c>
      <c r="D544" s="20"/>
      <c r="E544" s="21" t="s">
        <v>6</v>
      </c>
      <c r="F544" s="110" t="s">
        <v>135</v>
      </c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24" t="s">
        <v>8</v>
      </c>
      <c r="BG544" s="25"/>
      <c r="BH544" s="25"/>
      <c r="BI544" s="26"/>
      <c r="BJ544" s="31" t="s">
        <v>9</v>
      </c>
      <c r="BK544" s="32"/>
      <c r="BL544" s="29"/>
      <c r="BM544" s="30"/>
      <c r="BN544" s="31" t="s">
        <v>10</v>
      </c>
      <c r="BO544" s="32"/>
    </row>
    <row r="545" spans="2:67" ht="120">
      <c r="B545" s="33"/>
      <c r="C545" s="34" t="s">
        <v>11</v>
      </c>
      <c r="D545" s="35" t="s">
        <v>4</v>
      </c>
      <c r="E545" s="35" t="s">
        <v>12</v>
      </c>
      <c r="F545" s="36" t="s">
        <v>13</v>
      </c>
      <c r="G545" s="36" t="s">
        <v>14</v>
      </c>
      <c r="H545" s="36" t="s">
        <v>15</v>
      </c>
      <c r="I545" s="36" t="s">
        <v>16</v>
      </c>
      <c r="J545" s="36" t="s">
        <v>17</v>
      </c>
      <c r="K545" s="36" t="s">
        <v>18</v>
      </c>
      <c r="L545" s="36" t="s">
        <v>19</v>
      </c>
      <c r="M545" s="36" t="s">
        <v>20</v>
      </c>
      <c r="N545" s="37" t="s">
        <v>21</v>
      </c>
      <c r="O545" s="36" t="s">
        <v>22</v>
      </c>
      <c r="P545" s="36" t="s">
        <v>23</v>
      </c>
      <c r="Q545" s="36" t="s">
        <v>24</v>
      </c>
      <c r="R545" s="36" t="s">
        <v>25</v>
      </c>
      <c r="S545" s="36" t="s">
        <v>26</v>
      </c>
      <c r="T545" s="36" t="s">
        <v>27</v>
      </c>
      <c r="U545" s="36" t="s">
        <v>28</v>
      </c>
      <c r="V545" s="36" t="s">
        <v>29</v>
      </c>
      <c r="W545" s="36" t="s">
        <v>30</v>
      </c>
      <c r="X545" s="38" t="s">
        <v>31</v>
      </c>
      <c r="Y545" s="36" t="s">
        <v>32</v>
      </c>
      <c r="Z545" s="36" t="s">
        <v>33</v>
      </c>
      <c r="AA545" s="36" t="s">
        <v>34</v>
      </c>
      <c r="AB545" s="38" t="s">
        <v>35</v>
      </c>
      <c r="AC545" s="36" t="s">
        <v>36</v>
      </c>
      <c r="AD545" s="39" t="s">
        <v>37</v>
      </c>
      <c r="AE545" s="36" t="s">
        <v>38</v>
      </c>
      <c r="AF545" s="40" t="s">
        <v>39</v>
      </c>
      <c r="AG545" s="40" t="s">
        <v>40</v>
      </c>
      <c r="AH545" s="40" t="s">
        <v>41</v>
      </c>
      <c r="AI545" s="40" t="s">
        <v>42</v>
      </c>
      <c r="AJ545" s="40" t="s">
        <v>43</v>
      </c>
      <c r="AK545" s="40" t="s">
        <v>44</v>
      </c>
      <c r="AL545" s="41" t="s">
        <v>45</v>
      </c>
      <c r="AM545" s="42" t="s">
        <v>46</v>
      </c>
      <c r="AN545" s="43" t="s">
        <v>47</v>
      </c>
      <c r="AO545" s="40" t="s">
        <v>48</v>
      </c>
      <c r="AP545" s="40" t="s">
        <v>49</v>
      </c>
      <c r="AQ545" s="40" t="s">
        <v>50</v>
      </c>
      <c r="AR545" s="44" t="s">
        <v>136</v>
      </c>
      <c r="AS545" s="36" t="s">
        <v>52</v>
      </c>
      <c r="AT545" s="36" t="s">
        <v>53</v>
      </c>
      <c r="AU545" s="36" t="s">
        <v>54</v>
      </c>
      <c r="AV545" s="36" t="s">
        <v>55</v>
      </c>
      <c r="AW545" s="36" t="s">
        <v>56</v>
      </c>
      <c r="AX545" s="36" t="s">
        <v>203</v>
      </c>
      <c r="AY545" s="36" t="s">
        <v>58</v>
      </c>
      <c r="AZ545" s="38" t="s">
        <v>59</v>
      </c>
      <c r="BA545" s="36" t="s">
        <v>60</v>
      </c>
      <c r="BB545" s="36" t="s">
        <v>61</v>
      </c>
      <c r="BC545" s="39" t="s">
        <v>62</v>
      </c>
      <c r="BD545" s="36" t="s">
        <v>63</v>
      </c>
      <c r="BE545" s="36" t="s">
        <v>64</v>
      </c>
      <c r="BF545" s="45" t="s">
        <v>65</v>
      </c>
      <c r="BG545" s="45" t="s">
        <v>66</v>
      </c>
      <c r="BH545" s="45" t="s">
        <v>67</v>
      </c>
      <c r="BI545" s="45" t="s">
        <v>68</v>
      </c>
      <c r="BJ545" s="46" t="s">
        <v>69</v>
      </c>
      <c r="BK545" s="46" t="s">
        <v>70</v>
      </c>
      <c r="BL545" s="47" t="s">
        <v>71</v>
      </c>
      <c r="BM545" s="48" t="s">
        <v>72</v>
      </c>
      <c r="BN545" s="49" t="s">
        <v>69</v>
      </c>
      <c r="BO545" s="50" t="s">
        <v>70</v>
      </c>
    </row>
    <row r="546" spans="2:67">
      <c r="B546" s="51" t="s">
        <v>755</v>
      </c>
      <c r="C546" s="52" t="s">
        <v>74</v>
      </c>
      <c r="D546" s="53" t="s">
        <v>755</v>
      </c>
      <c r="E546" s="117" t="s">
        <v>756</v>
      </c>
      <c r="F546" s="55"/>
      <c r="G546" s="55"/>
      <c r="H546" s="55"/>
      <c r="I546" s="55"/>
      <c r="J546" s="55"/>
      <c r="K546" s="55"/>
      <c r="L546" s="55"/>
      <c r="M546" s="55"/>
      <c r="N546" s="56"/>
      <c r="O546" s="55"/>
      <c r="P546" s="55"/>
      <c r="Q546" s="57"/>
      <c r="R546" s="55"/>
      <c r="S546" s="58"/>
      <c r="T546" s="58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7"/>
      <c r="AF546" s="57"/>
      <c r="AG546" s="57"/>
      <c r="AH546" s="57"/>
      <c r="AI546" s="57"/>
      <c r="AJ546" s="57"/>
      <c r="AK546" s="57"/>
      <c r="AL546" s="59"/>
      <c r="AM546" s="57"/>
      <c r="AN546" s="57"/>
      <c r="AO546" s="55"/>
      <c r="AP546" s="55"/>
      <c r="AQ546" s="57"/>
      <c r="AR546" s="60"/>
      <c r="AS546" s="57"/>
      <c r="AT546" s="57"/>
      <c r="AU546" s="57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55"/>
      <c r="BG546" s="62">
        <v>4</v>
      </c>
      <c r="BH546" s="63">
        <f>SUM(F546:BG546)</f>
        <v>4</v>
      </c>
      <c r="BI546" s="64">
        <v>4</v>
      </c>
      <c r="BJ546" s="62"/>
      <c r="BK546" s="62">
        <f>BH546-BI546</f>
        <v>0</v>
      </c>
      <c r="BL546" s="64"/>
      <c r="BM546" s="65"/>
      <c r="BN546" s="65"/>
      <c r="BO546" s="65"/>
    </row>
    <row r="547" spans="2:67">
      <c r="B547" s="51" t="s">
        <v>757</v>
      </c>
      <c r="C547" s="52" t="s">
        <v>74</v>
      </c>
      <c r="D547" s="53" t="s">
        <v>757</v>
      </c>
      <c r="E547" s="54" t="s">
        <v>758</v>
      </c>
      <c r="F547" s="66"/>
      <c r="G547" s="66"/>
      <c r="H547" s="66"/>
      <c r="I547" s="66"/>
      <c r="J547" s="66"/>
      <c r="K547" s="66"/>
      <c r="L547" s="66"/>
      <c r="M547" s="66"/>
      <c r="N547" s="67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8"/>
      <c r="AS547" s="66"/>
      <c r="AT547" s="66"/>
      <c r="AU547" s="66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55"/>
      <c r="BG547" s="70">
        <v>0</v>
      </c>
      <c r="BH547" s="63">
        <v>0</v>
      </c>
      <c r="BI547" s="63">
        <v>0</v>
      </c>
      <c r="BJ547" s="70"/>
      <c r="BK547" s="62">
        <f t="shared" ref="BK547:BK575" si="25">BH547-BI547</f>
        <v>0</v>
      </c>
      <c r="BL547" s="63"/>
      <c r="BM547" s="71"/>
      <c r="BN547" s="71"/>
      <c r="BO547" s="72"/>
    </row>
    <row r="548" spans="2:67">
      <c r="B548" s="51" t="s">
        <v>759</v>
      </c>
      <c r="C548" s="73" t="s">
        <v>74</v>
      </c>
      <c r="D548" s="53" t="s">
        <v>759</v>
      </c>
      <c r="E548" s="54" t="s">
        <v>760</v>
      </c>
      <c r="F548" s="66"/>
      <c r="G548" s="66"/>
      <c r="H548" s="66"/>
      <c r="I548" s="66"/>
      <c r="J548" s="66"/>
      <c r="K548" s="66"/>
      <c r="L548" s="66"/>
      <c r="M548" s="66"/>
      <c r="N548" s="67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8"/>
      <c r="AS548" s="66"/>
      <c r="AT548" s="66"/>
      <c r="AU548" s="66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55"/>
      <c r="BG548" s="70">
        <v>1</v>
      </c>
      <c r="BH548" s="63">
        <f t="shared" ref="BH548:BH569" si="26">SUM(F548:BG548)</f>
        <v>1</v>
      </c>
      <c r="BI548" s="63">
        <v>1</v>
      </c>
      <c r="BJ548" s="70"/>
      <c r="BK548" s="62">
        <f t="shared" si="25"/>
        <v>0</v>
      </c>
      <c r="BL548" s="63"/>
      <c r="BM548" s="71"/>
      <c r="BN548" s="72"/>
      <c r="BO548" s="71"/>
    </row>
    <row r="549" spans="2:67">
      <c r="B549" s="51" t="s">
        <v>761</v>
      </c>
      <c r="C549" s="73" t="s">
        <v>74</v>
      </c>
      <c r="D549" s="53" t="s">
        <v>761</v>
      </c>
      <c r="E549" s="54" t="s">
        <v>762</v>
      </c>
      <c r="F549" s="66"/>
      <c r="G549" s="66"/>
      <c r="H549" s="66"/>
      <c r="I549" s="66"/>
      <c r="J549" s="66"/>
      <c r="K549" s="66"/>
      <c r="L549" s="66"/>
      <c r="M549" s="66"/>
      <c r="N549" s="67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8"/>
      <c r="AS549" s="66"/>
      <c r="AT549" s="66"/>
      <c r="AU549" s="66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55"/>
      <c r="BG549" s="70"/>
      <c r="BH549" s="63">
        <f t="shared" si="26"/>
        <v>0</v>
      </c>
      <c r="BI549" s="63">
        <v>10</v>
      </c>
      <c r="BJ549" s="70"/>
      <c r="BK549" s="62">
        <f t="shared" si="25"/>
        <v>-10</v>
      </c>
      <c r="BL549" s="63"/>
      <c r="BM549" s="71"/>
      <c r="BN549" s="71"/>
      <c r="BO549" s="71"/>
    </row>
    <row r="550" spans="2:67">
      <c r="B550" s="51" t="s">
        <v>763</v>
      </c>
      <c r="C550" s="73" t="s">
        <v>74</v>
      </c>
      <c r="D550" s="132" t="s">
        <v>763</v>
      </c>
      <c r="E550" s="150" t="s">
        <v>764</v>
      </c>
      <c r="F550" s="66"/>
      <c r="G550" s="66"/>
      <c r="H550" s="66"/>
      <c r="I550" s="66"/>
      <c r="J550" s="66"/>
      <c r="K550" s="66"/>
      <c r="L550" s="66"/>
      <c r="M550" s="66"/>
      <c r="N550" s="67"/>
      <c r="O550" s="66"/>
      <c r="P550" s="145"/>
      <c r="Q550" s="145"/>
      <c r="R550" s="66"/>
      <c r="S550" s="145"/>
      <c r="T550" s="145"/>
      <c r="U550" s="145"/>
      <c r="V550" s="145"/>
      <c r="W550" s="145"/>
      <c r="X550" s="145"/>
      <c r="Y550" s="145"/>
      <c r="Z550" s="66"/>
      <c r="AA550" s="145"/>
      <c r="AB550" s="145"/>
      <c r="AC550" s="145"/>
      <c r="AD550" s="145"/>
      <c r="AE550" s="145"/>
      <c r="AF550" s="145"/>
      <c r="AG550" s="145"/>
      <c r="AH550" s="145"/>
      <c r="AI550" s="145"/>
      <c r="AJ550" s="145"/>
      <c r="AK550" s="145"/>
      <c r="AL550" s="145"/>
      <c r="AM550" s="145"/>
      <c r="AN550" s="145"/>
      <c r="AO550" s="145"/>
      <c r="AP550" s="145"/>
      <c r="AQ550" s="145"/>
      <c r="AR550" s="145"/>
      <c r="AS550" s="145"/>
      <c r="AT550" s="145"/>
      <c r="AU550" s="145"/>
      <c r="AV550" s="146"/>
      <c r="AW550" s="146"/>
      <c r="AX550" s="146"/>
      <c r="AY550" s="146"/>
      <c r="AZ550" s="146"/>
      <c r="BA550" s="146"/>
      <c r="BB550" s="146"/>
      <c r="BC550" s="146"/>
      <c r="BD550" s="69"/>
      <c r="BE550" s="146"/>
      <c r="BF550" s="134"/>
      <c r="BG550" s="70"/>
      <c r="BH550" s="126">
        <f t="shared" si="26"/>
        <v>0</v>
      </c>
      <c r="BI550" s="126">
        <v>4</v>
      </c>
      <c r="BJ550" s="125"/>
      <c r="BK550" s="62">
        <f t="shared" si="25"/>
        <v>-4</v>
      </c>
      <c r="BL550" s="126"/>
      <c r="BM550" s="71"/>
      <c r="BN550" s="71"/>
      <c r="BO550" s="71"/>
    </row>
    <row r="551" spans="2:67">
      <c r="B551" s="51" t="s">
        <v>765</v>
      </c>
      <c r="C551" s="73" t="s">
        <v>74</v>
      </c>
      <c r="D551" s="132" t="s">
        <v>765</v>
      </c>
      <c r="E551" s="150" t="s">
        <v>766</v>
      </c>
      <c r="F551" s="66"/>
      <c r="G551" s="66"/>
      <c r="H551" s="66"/>
      <c r="I551" s="66"/>
      <c r="J551" s="66"/>
      <c r="K551" s="66"/>
      <c r="L551" s="66"/>
      <c r="M551" s="66"/>
      <c r="N551" s="67"/>
      <c r="O551" s="66"/>
      <c r="P551" s="145"/>
      <c r="Q551" s="145"/>
      <c r="R551" s="66"/>
      <c r="S551" s="145"/>
      <c r="T551" s="145"/>
      <c r="U551" s="145"/>
      <c r="V551" s="145"/>
      <c r="W551" s="145"/>
      <c r="X551" s="145"/>
      <c r="Y551" s="145"/>
      <c r="Z551" s="66"/>
      <c r="AA551" s="145"/>
      <c r="AB551" s="145"/>
      <c r="AC551" s="145"/>
      <c r="AD551" s="145"/>
      <c r="AE551" s="145"/>
      <c r="AF551" s="145"/>
      <c r="AG551" s="145"/>
      <c r="AH551" s="145"/>
      <c r="AI551" s="145"/>
      <c r="AJ551" s="145"/>
      <c r="AK551" s="145"/>
      <c r="AL551" s="145"/>
      <c r="AM551" s="145"/>
      <c r="AN551" s="145"/>
      <c r="AO551" s="145"/>
      <c r="AP551" s="145"/>
      <c r="AQ551" s="145"/>
      <c r="AR551" s="145"/>
      <c r="AS551" s="145"/>
      <c r="AT551" s="145"/>
      <c r="AU551" s="145"/>
      <c r="AV551" s="146"/>
      <c r="AW551" s="146"/>
      <c r="AX551" s="146"/>
      <c r="AY551" s="146"/>
      <c r="AZ551" s="146"/>
      <c r="BA551" s="146"/>
      <c r="BB551" s="146"/>
      <c r="BC551" s="146"/>
      <c r="BD551" s="69"/>
      <c r="BE551" s="146"/>
      <c r="BF551" s="134"/>
      <c r="BG551" s="70"/>
      <c r="BH551" s="126">
        <f t="shared" si="26"/>
        <v>0</v>
      </c>
      <c r="BI551" s="126">
        <v>0</v>
      </c>
      <c r="BJ551" s="125"/>
      <c r="BK551" s="62">
        <f t="shared" si="25"/>
        <v>0</v>
      </c>
      <c r="BL551" s="126"/>
      <c r="BM551" s="71"/>
      <c r="BN551" s="71"/>
      <c r="BO551" s="71"/>
    </row>
    <row r="552" spans="2:67">
      <c r="B552" s="51" t="s">
        <v>767</v>
      </c>
      <c r="C552" s="73" t="s">
        <v>74</v>
      </c>
      <c r="D552" s="53" t="s">
        <v>767</v>
      </c>
      <c r="E552" s="54" t="s">
        <v>768</v>
      </c>
      <c r="F552" s="66"/>
      <c r="G552" s="66"/>
      <c r="H552" s="66"/>
      <c r="I552" s="66"/>
      <c r="J552" s="66"/>
      <c r="K552" s="66"/>
      <c r="L552" s="66"/>
      <c r="M552" s="66"/>
      <c r="N552" s="67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8"/>
      <c r="AS552" s="66"/>
      <c r="AT552" s="66"/>
      <c r="AU552" s="66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55">
        <v>1</v>
      </c>
      <c r="BG552" s="70"/>
      <c r="BH552" s="63">
        <f t="shared" si="26"/>
        <v>1</v>
      </c>
      <c r="BI552" s="63">
        <v>1</v>
      </c>
      <c r="BJ552" s="70"/>
      <c r="BK552" s="62">
        <f t="shared" si="25"/>
        <v>0</v>
      </c>
      <c r="BL552" s="63"/>
      <c r="BM552" s="71"/>
      <c r="BN552" s="71"/>
      <c r="BO552" s="71"/>
    </row>
    <row r="553" spans="2:67">
      <c r="B553" s="51" t="s">
        <v>769</v>
      </c>
      <c r="C553" s="73" t="s">
        <v>74</v>
      </c>
      <c r="D553" s="53" t="s">
        <v>769</v>
      </c>
      <c r="E553" s="74" t="s">
        <v>770</v>
      </c>
      <c r="F553" s="66"/>
      <c r="G553" s="66"/>
      <c r="H553" s="66"/>
      <c r="I553" s="66"/>
      <c r="J553" s="66"/>
      <c r="K553" s="66"/>
      <c r="L553" s="66"/>
      <c r="M553" s="66"/>
      <c r="N553" s="67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8"/>
      <c r="AS553" s="66"/>
      <c r="AT553" s="66"/>
      <c r="AU553" s="66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55"/>
      <c r="BG553" s="70"/>
      <c r="BH553" s="63">
        <f t="shared" si="26"/>
        <v>0</v>
      </c>
      <c r="BI553" s="63">
        <v>0</v>
      </c>
      <c r="BJ553" s="70"/>
      <c r="BK553" s="62">
        <f t="shared" si="25"/>
        <v>0</v>
      </c>
      <c r="BL553" s="63"/>
      <c r="BM553" s="71"/>
      <c r="BN553" s="71"/>
      <c r="BO553" s="71"/>
    </row>
    <row r="554" spans="2:67">
      <c r="B554" s="51" t="s">
        <v>771</v>
      </c>
      <c r="C554" s="73" t="s">
        <v>74</v>
      </c>
      <c r="D554" s="53" t="s">
        <v>771</v>
      </c>
      <c r="E554" s="74" t="s">
        <v>772</v>
      </c>
      <c r="F554" s="66"/>
      <c r="G554" s="66"/>
      <c r="H554" s="66"/>
      <c r="I554" s="66"/>
      <c r="J554" s="66"/>
      <c r="K554" s="66"/>
      <c r="L554" s="66"/>
      <c r="M554" s="66"/>
      <c r="N554" s="67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8"/>
      <c r="AS554" s="66"/>
      <c r="AT554" s="66"/>
      <c r="AU554" s="66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55">
        <v>2</v>
      </c>
      <c r="BG554" s="70"/>
      <c r="BH554" s="63">
        <f t="shared" si="26"/>
        <v>2</v>
      </c>
      <c r="BI554" s="63">
        <v>2</v>
      </c>
      <c r="BJ554" s="70"/>
      <c r="BK554" s="62">
        <f t="shared" si="25"/>
        <v>0</v>
      </c>
      <c r="BL554" s="63"/>
      <c r="BM554" s="71"/>
      <c r="BN554" s="71"/>
      <c r="BO554" s="71"/>
    </row>
    <row r="555" spans="2:67">
      <c r="B555" s="51" t="s">
        <v>773</v>
      </c>
      <c r="C555" s="73" t="s">
        <v>74</v>
      </c>
      <c r="D555" s="53" t="s">
        <v>773</v>
      </c>
      <c r="E555" s="74" t="s">
        <v>774</v>
      </c>
      <c r="F555" s="66"/>
      <c r="G555" s="66"/>
      <c r="H555" s="66"/>
      <c r="I555" s="66"/>
      <c r="J555" s="66"/>
      <c r="K555" s="66"/>
      <c r="L555" s="66"/>
      <c r="M555" s="66"/>
      <c r="N555" s="67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8"/>
      <c r="AS555" s="66"/>
      <c r="AT555" s="66"/>
      <c r="AU555" s="66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55"/>
      <c r="BG555" s="70"/>
      <c r="BH555" s="63">
        <f t="shared" si="26"/>
        <v>0</v>
      </c>
      <c r="BI555" s="63">
        <v>2</v>
      </c>
      <c r="BJ555" s="70"/>
      <c r="BK555" s="62">
        <f t="shared" si="25"/>
        <v>-2</v>
      </c>
      <c r="BL555" s="63"/>
      <c r="BM555" s="71"/>
      <c r="BN555" s="71"/>
      <c r="BO555" s="71"/>
    </row>
    <row r="556" spans="2:67">
      <c r="B556" s="51" t="s">
        <v>775</v>
      </c>
      <c r="C556" s="73" t="s">
        <v>74</v>
      </c>
      <c r="D556" s="132" t="s">
        <v>775</v>
      </c>
      <c r="E556" s="150" t="s">
        <v>776</v>
      </c>
      <c r="F556" s="66"/>
      <c r="G556" s="66"/>
      <c r="H556" s="66"/>
      <c r="I556" s="66"/>
      <c r="J556" s="66"/>
      <c r="K556" s="66"/>
      <c r="L556" s="66"/>
      <c r="M556" s="66"/>
      <c r="N556" s="67"/>
      <c r="O556" s="66"/>
      <c r="P556" s="145"/>
      <c r="Q556" s="145"/>
      <c r="R556" s="66"/>
      <c r="S556" s="145"/>
      <c r="T556" s="145"/>
      <c r="U556" s="145"/>
      <c r="V556" s="145"/>
      <c r="W556" s="145"/>
      <c r="X556" s="145"/>
      <c r="Y556" s="145"/>
      <c r="Z556" s="66"/>
      <c r="AA556" s="145"/>
      <c r="AB556" s="145"/>
      <c r="AC556" s="145"/>
      <c r="AD556" s="145"/>
      <c r="AE556" s="145"/>
      <c r="AF556" s="145"/>
      <c r="AG556" s="145"/>
      <c r="AH556" s="145"/>
      <c r="AI556" s="145"/>
      <c r="AJ556" s="145"/>
      <c r="AK556" s="145"/>
      <c r="AL556" s="145"/>
      <c r="AM556" s="145"/>
      <c r="AN556" s="145"/>
      <c r="AO556" s="145"/>
      <c r="AP556" s="145"/>
      <c r="AQ556" s="145"/>
      <c r="AR556" s="145"/>
      <c r="AS556" s="145"/>
      <c r="AT556" s="145"/>
      <c r="AU556" s="145"/>
      <c r="AV556" s="146"/>
      <c r="AW556" s="146"/>
      <c r="AX556" s="146"/>
      <c r="AY556" s="146"/>
      <c r="AZ556" s="146"/>
      <c r="BA556" s="146"/>
      <c r="BB556" s="146"/>
      <c r="BC556" s="146"/>
      <c r="BD556" s="69"/>
      <c r="BE556" s="146"/>
      <c r="BF556" s="134"/>
      <c r="BG556" s="70"/>
      <c r="BH556" s="126">
        <f t="shared" si="26"/>
        <v>0</v>
      </c>
      <c r="BI556" s="126">
        <v>10</v>
      </c>
      <c r="BJ556" s="125"/>
      <c r="BK556" s="62">
        <f t="shared" si="25"/>
        <v>-10</v>
      </c>
      <c r="BL556" s="126"/>
      <c r="BM556" s="71"/>
      <c r="BN556" s="71"/>
      <c r="BO556" s="71"/>
    </row>
    <row r="557" spans="2:67">
      <c r="B557" s="51" t="s">
        <v>777</v>
      </c>
      <c r="C557" s="73" t="s">
        <v>74</v>
      </c>
      <c r="D557" s="53" t="s">
        <v>777</v>
      </c>
      <c r="E557" s="150" t="s">
        <v>778</v>
      </c>
      <c r="F557" s="66"/>
      <c r="G557" s="66"/>
      <c r="H557" s="66"/>
      <c r="I557" s="66"/>
      <c r="J557" s="66"/>
      <c r="K557" s="66"/>
      <c r="L557" s="66"/>
      <c r="M557" s="66"/>
      <c r="N557" s="67"/>
      <c r="O557" s="66"/>
      <c r="P557" s="145"/>
      <c r="Q557" s="145"/>
      <c r="R557" s="66"/>
      <c r="S557" s="145"/>
      <c r="T557" s="145"/>
      <c r="U557" s="145"/>
      <c r="V557" s="145"/>
      <c r="W557" s="145"/>
      <c r="X557" s="145"/>
      <c r="Y557" s="145"/>
      <c r="Z557" s="66"/>
      <c r="AA557" s="145"/>
      <c r="AB557" s="145"/>
      <c r="AC557" s="145"/>
      <c r="AD557" s="145"/>
      <c r="AE557" s="145"/>
      <c r="AF557" s="145"/>
      <c r="AG557" s="145"/>
      <c r="AH557" s="145"/>
      <c r="AI557" s="145"/>
      <c r="AJ557" s="145"/>
      <c r="AK557" s="145"/>
      <c r="AL557" s="145"/>
      <c r="AM557" s="145"/>
      <c r="AN557" s="145"/>
      <c r="AO557" s="145"/>
      <c r="AP557" s="145"/>
      <c r="AQ557" s="145"/>
      <c r="AR557" s="145"/>
      <c r="AS557" s="145"/>
      <c r="AT557" s="145"/>
      <c r="AU557" s="145"/>
      <c r="AV557" s="146"/>
      <c r="AW557" s="146"/>
      <c r="AX557" s="146"/>
      <c r="AY557" s="146"/>
      <c r="AZ557" s="146"/>
      <c r="BA557" s="146"/>
      <c r="BB557" s="146"/>
      <c r="BC557" s="146"/>
      <c r="BD557" s="69"/>
      <c r="BE557" s="146"/>
      <c r="BF557" s="134"/>
      <c r="BG557" s="70"/>
      <c r="BH557" s="126">
        <f t="shared" si="26"/>
        <v>0</v>
      </c>
      <c r="BI557" s="126">
        <v>0</v>
      </c>
      <c r="BJ557" s="125"/>
      <c r="BK557" s="62">
        <f t="shared" si="25"/>
        <v>0</v>
      </c>
      <c r="BL557" s="126"/>
      <c r="BM557" s="71"/>
      <c r="BN557" s="71"/>
      <c r="BO557" s="71"/>
    </row>
    <row r="558" spans="2:67">
      <c r="B558" s="51" t="s">
        <v>779</v>
      </c>
      <c r="C558" s="73" t="s">
        <v>74</v>
      </c>
      <c r="D558" s="132" t="s">
        <v>779</v>
      </c>
      <c r="E558" s="150" t="s">
        <v>780</v>
      </c>
      <c r="F558" s="66"/>
      <c r="G558" s="66"/>
      <c r="H558" s="66"/>
      <c r="I558" s="66"/>
      <c r="J558" s="66"/>
      <c r="K558" s="66"/>
      <c r="L558" s="66"/>
      <c r="M558" s="66"/>
      <c r="N558" s="67"/>
      <c r="O558" s="66"/>
      <c r="P558" s="145"/>
      <c r="Q558" s="145"/>
      <c r="R558" s="66"/>
      <c r="S558" s="145"/>
      <c r="T558" s="145"/>
      <c r="U558" s="145"/>
      <c r="V558" s="145"/>
      <c r="W558" s="145"/>
      <c r="X558" s="145"/>
      <c r="Y558" s="145"/>
      <c r="Z558" s="66"/>
      <c r="AA558" s="145"/>
      <c r="AB558" s="145"/>
      <c r="AC558" s="145"/>
      <c r="AD558" s="145"/>
      <c r="AE558" s="145"/>
      <c r="AF558" s="145"/>
      <c r="AG558" s="145"/>
      <c r="AH558" s="145"/>
      <c r="AI558" s="145"/>
      <c r="AJ558" s="145"/>
      <c r="AK558" s="145"/>
      <c r="AL558" s="145"/>
      <c r="AM558" s="145"/>
      <c r="AN558" s="145"/>
      <c r="AO558" s="145"/>
      <c r="AP558" s="145"/>
      <c r="AQ558" s="145"/>
      <c r="AR558" s="145"/>
      <c r="AS558" s="145"/>
      <c r="AT558" s="145"/>
      <c r="AU558" s="145"/>
      <c r="AV558" s="146"/>
      <c r="AW558" s="146"/>
      <c r="AX558" s="146"/>
      <c r="AY558" s="146"/>
      <c r="AZ558" s="146"/>
      <c r="BA558" s="146"/>
      <c r="BB558" s="146"/>
      <c r="BC558" s="146"/>
      <c r="BD558" s="69"/>
      <c r="BE558" s="146"/>
      <c r="BF558" s="134"/>
      <c r="BG558" s="70"/>
      <c r="BH558" s="126">
        <f t="shared" si="26"/>
        <v>0</v>
      </c>
      <c r="BI558" s="126">
        <v>0</v>
      </c>
      <c r="BJ558" s="125"/>
      <c r="BK558" s="62">
        <f t="shared" si="25"/>
        <v>0</v>
      </c>
      <c r="BL558" s="126"/>
      <c r="BM558" s="71"/>
      <c r="BN558" s="71"/>
      <c r="BO558" s="71"/>
    </row>
    <row r="559" spans="2:67">
      <c r="B559" s="51" t="s">
        <v>781</v>
      </c>
      <c r="C559" s="73" t="s">
        <v>74</v>
      </c>
      <c r="D559" s="132" t="s">
        <v>781</v>
      </c>
      <c r="E559" s="150" t="s">
        <v>782</v>
      </c>
      <c r="F559" s="66"/>
      <c r="G559" s="66"/>
      <c r="H559" s="66"/>
      <c r="I559" s="66"/>
      <c r="J559" s="66"/>
      <c r="K559" s="66"/>
      <c r="L559" s="66"/>
      <c r="M559" s="66"/>
      <c r="N559" s="67"/>
      <c r="O559" s="66"/>
      <c r="P559" s="145"/>
      <c r="Q559" s="145"/>
      <c r="R559" s="66"/>
      <c r="S559" s="145"/>
      <c r="T559" s="145"/>
      <c r="U559" s="145"/>
      <c r="V559" s="145"/>
      <c r="W559" s="145"/>
      <c r="X559" s="145"/>
      <c r="Y559" s="145"/>
      <c r="Z559" s="66"/>
      <c r="AA559" s="145"/>
      <c r="AB559" s="145"/>
      <c r="AC559" s="145"/>
      <c r="AD559" s="145"/>
      <c r="AE559" s="145"/>
      <c r="AF559" s="145"/>
      <c r="AG559" s="145"/>
      <c r="AH559" s="145"/>
      <c r="AI559" s="145"/>
      <c r="AJ559" s="145"/>
      <c r="AK559" s="145"/>
      <c r="AL559" s="145"/>
      <c r="AM559" s="145"/>
      <c r="AN559" s="145"/>
      <c r="AO559" s="145"/>
      <c r="AP559" s="145"/>
      <c r="AQ559" s="145"/>
      <c r="AR559" s="145"/>
      <c r="AS559" s="145"/>
      <c r="AT559" s="145"/>
      <c r="AU559" s="145"/>
      <c r="AV559" s="146"/>
      <c r="AW559" s="146"/>
      <c r="AX559" s="146"/>
      <c r="AY559" s="146"/>
      <c r="AZ559" s="146"/>
      <c r="BA559" s="146"/>
      <c r="BB559" s="146"/>
      <c r="BC559" s="146"/>
      <c r="BD559" s="69"/>
      <c r="BE559" s="146"/>
      <c r="BF559" s="134"/>
      <c r="BG559" s="70"/>
      <c r="BH559" s="126">
        <f t="shared" si="26"/>
        <v>0</v>
      </c>
      <c r="BI559" s="126">
        <v>0</v>
      </c>
      <c r="BJ559" s="125"/>
      <c r="BK559" s="62">
        <f t="shared" si="25"/>
        <v>0</v>
      </c>
      <c r="BL559" s="126"/>
      <c r="BM559" s="71"/>
      <c r="BN559" s="71"/>
      <c r="BO559" s="71"/>
    </row>
    <row r="560" spans="2:67">
      <c r="B560" s="51" t="s">
        <v>783</v>
      </c>
      <c r="C560" s="73" t="s">
        <v>74</v>
      </c>
      <c r="D560" s="53" t="s">
        <v>783</v>
      </c>
      <c r="E560" s="54" t="s">
        <v>784</v>
      </c>
      <c r="F560" s="66"/>
      <c r="G560" s="66"/>
      <c r="H560" s="66"/>
      <c r="I560" s="66"/>
      <c r="J560" s="66"/>
      <c r="K560" s="66"/>
      <c r="L560" s="66"/>
      <c r="M560" s="66"/>
      <c r="N560" s="67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8"/>
      <c r="AS560" s="66"/>
      <c r="AT560" s="66"/>
      <c r="AU560" s="66"/>
      <c r="AV560" s="69"/>
      <c r="AW560" s="69"/>
      <c r="AX560" s="69"/>
      <c r="AY560" s="69"/>
      <c r="AZ560" s="69"/>
      <c r="BA560" s="69"/>
      <c r="BB560" s="69">
        <v>4</v>
      </c>
      <c r="BC560" s="69"/>
      <c r="BD560" s="69"/>
      <c r="BE560" s="69"/>
      <c r="BF560" s="55"/>
      <c r="BG560" s="70">
        <v>1</v>
      </c>
      <c r="BH560" s="63">
        <f t="shared" si="26"/>
        <v>5</v>
      </c>
      <c r="BI560" s="63">
        <v>5</v>
      </c>
      <c r="BJ560" s="70"/>
      <c r="BK560" s="62">
        <f t="shared" si="25"/>
        <v>0</v>
      </c>
      <c r="BL560" s="63"/>
      <c r="BM560" s="71"/>
      <c r="BN560" s="71"/>
      <c r="BO560" s="71"/>
    </row>
    <row r="561" spans="2:67">
      <c r="B561" s="51" t="s">
        <v>785</v>
      </c>
      <c r="C561" s="73" t="s">
        <v>74</v>
      </c>
      <c r="D561" s="53" t="s">
        <v>785</v>
      </c>
      <c r="E561" s="54" t="s">
        <v>786</v>
      </c>
      <c r="F561" s="66"/>
      <c r="G561" s="66"/>
      <c r="H561" s="66"/>
      <c r="I561" s="66"/>
      <c r="J561" s="66"/>
      <c r="K561" s="66"/>
      <c r="L561" s="66"/>
      <c r="M561" s="66"/>
      <c r="N561" s="67"/>
      <c r="O561" s="66"/>
      <c r="P561" s="66"/>
      <c r="Q561" s="66"/>
      <c r="R561" s="66">
        <v>7</v>
      </c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8"/>
      <c r="AS561" s="66"/>
      <c r="AT561" s="66"/>
      <c r="AU561" s="66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55"/>
      <c r="BG561" s="70"/>
      <c r="BH561" s="63">
        <f t="shared" si="26"/>
        <v>7</v>
      </c>
      <c r="BI561" s="63">
        <v>7</v>
      </c>
      <c r="BJ561" s="70"/>
      <c r="BK561" s="62">
        <f t="shared" si="25"/>
        <v>0</v>
      </c>
      <c r="BL561" s="63"/>
      <c r="BM561" s="71"/>
      <c r="BN561" s="71"/>
      <c r="BO561" s="71"/>
    </row>
    <row r="562" spans="2:67">
      <c r="B562" s="51" t="s">
        <v>787</v>
      </c>
      <c r="C562" s="52" t="s">
        <v>74</v>
      </c>
      <c r="D562" s="132" t="s">
        <v>787</v>
      </c>
      <c r="E562" s="150" t="s">
        <v>788</v>
      </c>
      <c r="F562" s="66"/>
      <c r="G562" s="66"/>
      <c r="H562" s="66"/>
      <c r="I562" s="66"/>
      <c r="J562" s="66"/>
      <c r="K562" s="66"/>
      <c r="L562" s="66"/>
      <c r="M562" s="66"/>
      <c r="N562" s="67"/>
      <c r="O562" s="66"/>
      <c r="P562" s="145"/>
      <c r="Q562" s="145"/>
      <c r="R562" s="66"/>
      <c r="S562" s="145"/>
      <c r="T562" s="145"/>
      <c r="U562" s="145"/>
      <c r="V562" s="145"/>
      <c r="W562" s="145"/>
      <c r="X562" s="145"/>
      <c r="Y562" s="145"/>
      <c r="Z562" s="66"/>
      <c r="AA562" s="145"/>
      <c r="AB562" s="145"/>
      <c r="AC562" s="145"/>
      <c r="AD562" s="145"/>
      <c r="AE562" s="145"/>
      <c r="AF562" s="145"/>
      <c r="AG562" s="145"/>
      <c r="AH562" s="145"/>
      <c r="AI562" s="145"/>
      <c r="AJ562" s="145"/>
      <c r="AK562" s="145"/>
      <c r="AL562" s="145"/>
      <c r="AM562" s="145"/>
      <c r="AN562" s="145"/>
      <c r="AO562" s="145"/>
      <c r="AP562" s="145"/>
      <c r="AQ562" s="145"/>
      <c r="AR562" s="145"/>
      <c r="AS562" s="145"/>
      <c r="AT562" s="145"/>
      <c r="AU562" s="145"/>
      <c r="AV562" s="146"/>
      <c r="AW562" s="146"/>
      <c r="AX562" s="146"/>
      <c r="AY562" s="146"/>
      <c r="AZ562" s="146"/>
      <c r="BA562" s="146"/>
      <c r="BB562" s="146"/>
      <c r="BC562" s="146"/>
      <c r="BD562" s="69"/>
      <c r="BE562" s="146"/>
      <c r="BF562" s="134"/>
      <c r="BG562" s="70"/>
      <c r="BH562" s="126">
        <f t="shared" si="26"/>
        <v>0</v>
      </c>
      <c r="BI562" s="126">
        <v>0</v>
      </c>
      <c r="BJ562" s="70"/>
      <c r="BK562" s="62">
        <f t="shared" si="25"/>
        <v>0</v>
      </c>
      <c r="BL562" s="63"/>
      <c r="BM562" s="71"/>
      <c r="BN562" s="71"/>
      <c r="BO562" s="71"/>
    </row>
    <row r="563" spans="2:67" ht="15">
      <c r="B563" s="51" t="s">
        <v>789</v>
      </c>
      <c r="C563" s="73" t="s">
        <v>74</v>
      </c>
      <c r="D563" s="53" t="s">
        <v>789</v>
      </c>
      <c r="E563" s="149" t="s">
        <v>790</v>
      </c>
      <c r="F563" s="66"/>
      <c r="G563" s="66"/>
      <c r="H563" s="66"/>
      <c r="I563" s="66"/>
      <c r="J563" s="66"/>
      <c r="K563" s="66"/>
      <c r="L563" s="66"/>
      <c r="M563" s="66"/>
      <c r="N563" s="67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8"/>
      <c r="AS563" s="66"/>
      <c r="AT563" s="66"/>
      <c r="AU563" s="66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55"/>
      <c r="BG563" s="70"/>
      <c r="BH563" s="63">
        <f t="shared" si="26"/>
        <v>0</v>
      </c>
      <c r="BI563" s="63">
        <v>0</v>
      </c>
      <c r="BJ563" s="70"/>
      <c r="BK563" s="62">
        <f t="shared" si="25"/>
        <v>0</v>
      </c>
      <c r="BL563" s="63"/>
      <c r="BM563" s="71"/>
      <c r="BN563" s="71"/>
      <c r="BO563" s="71"/>
    </row>
    <row r="564" spans="2:67">
      <c r="B564" s="51" t="s">
        <v>791</v>
      </c>
      <c r="C564" s="73" t="s">
        <v>74</v>
      </c>
      <c r="D564" s="53" t="s">
        <v>791</v>
      </c>
      <c r="E564" s="54" t="s">
        <v>792</v>
      </c>
      <c r="F564" s="66"/>
      <c r="G564" s="66"/>
      <c r="H564" s="66"/>
      <c r="I564" s="66"/>
      <c r="J564" s="66"/>
      <c r="K564" s="66"/>
      <c r="L564" s="66"/>
      <c r="M564" s="66"/>
      <c r="N564" s="67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8"/>
      <c r="AS564" s="66"/>
      <c r="AT564" s="66"/>
      <c r="AU564" s="66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55">
        <v>1</v>
      </c>
      <c r="BG564" s="70"/>
      <c r="BH564" s="63">
        <f t="shared" si="26"/>
        <v>1</v>
      </c>
      <c r="BI564" s="63">
        <v>1</v>
      </c>
      <c r="BJ564" s="70"/>
      <c r="BK564" s="62">
        <f t="shared" si="25"/>
        <v>0</v>
      </c>
      <c r="BL564" s="63"/>
      <c r="BM564" s="71"/>
      <c r="BN564" s="71"/>
      <c r="BO564" s="71"/>
    </row>
    <row r="565" spans="2:67">
      <c r="B565" s="51" t="s">
        <v>793</v>
      </c>
      <c r="C565" s="73" t="s">
        <v>74</v>
      </c>
      <c r="D565" s="53" t="s">
        <v>793</v>
      </c>
      <c r="E565" s="151" t="s">
        <v>794</v>
      </c>
      <c r="F565" s="66"/>
      <c r="G565" s="66"/>
      <c r="H565" s="66"/>
      <c r="I565" s="66"/>
      <c r="J565" s="66"/>
      <c r="K565" s="66"/>
      <c r="L565" s="66"/>
      <c r="M565" s="66"/>
      <c r="N565" s="67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8"/>
      <c r="AS565" s="66"/>
      <c r="AT565" s="66"/>
      <c r="AU565" s="66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55">
        <v>1</v>
      </c>
      <c r="BG565" s="70"/>
      <c r="BH565" s="63">
        <f t="shared" si="26"/>
        <v>1</v>
      </c>
      <c r="BI565" s="63">
        <v>1</v>
      </c>
      <c r="BJ565" s="70"/>
      <c r="BK565" s="62">
        <f t="shared" si="25"/>
        <v>0</v>
      </c>
      <c r="BL565" s="63"/>
      <c r="BM565" s="71"/>
      <c r="BN565" s="71"/>
      <c r="BO565" s="71"/>
    </row>
    <row r="566" spans="2:67" ht="15">
      <c r="B566" s="51" t="s">
        <v>795</v>
      </c>
      <c r="C566" s="73" t="s">
        <v>74</v>
      </c>
      <c r="D566" s="53" t="s">
        <v>795</v>
      </c>
      <c r="E566" s="152" t="s">
        <v>796</v>
      </c>
      <c r="F566" s="66"/>
      <c r="G566" s="66"/>
      <c r="H566" s="66"/>
      <c r="I566" s="66"/>
      <c r="J566" s="66"/>
      <c r="K566" s="66"/>
      <c r="L566" s="66"/>
      <c r="M566" s="66"/>
      <c r="N566" s="67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8"/>
      <c r="AS566" s="66"/>
      <c r="AT566" s="66"/>
      <c r="AU566" s="66"/>
      <c r="AV566" s="69"/>
      <c r="AW566" s="69"/>
      <c r="AX566" s="69"/>
      <c r="AY566" s="69"/>
      <c r="AZ566" s="69"/>
      <c r="BA566" s="69"/>
      <c r="BB566" s="69">
        <v>2</v>
      </c>
      <c r="BC566" s="69"/>
      <c r="BD566" s="69"/>
      <c r="BE566" s="69"/>
      <c r="BF566" s="55"/>
      <c r="BG566" s="70"/>
      <c r="BH566" s="63">
        <f t="shared" si="26"/>
        <v>2</v>
      </c>
      <c r="BI566" s="63">
        <v>2</v>
      </c>
      <c r="BJ566" s="70"/>
      <c r="BK566" s="62">
        <f t="shared" si="25"/>
        <v>0</v>
      </c>
      <c r="BL566" s="63"/>
      <c r="BM566" s="71"/>
      <c r="BN566" s="71"/>
      <c r="BO566" s="71"/>
    </row>
    <row r="567" spans="2:67">
      <c r="B567" s="51" t="s">
        <v>797</v>
      </c>
      <c r="C567" s="73" t="s">
        <v>74</v>
      </c>
      <c r="D567" s="53" t="s">
        <v>797</v>
      </c>
      <c r="E567" s="54" t="s">
        <v>798</v>
      </c>
      <c r="F567" s="66"/>
      <c r="G567" s="66"/>
      <c r="H567" s="66"/>
      <c r="I567" s="66"/>
      <c r="J567" s="66"/>
      <c r="K567" s="66"/>
      <c r="L567" s="66"/>
      <c r="M567" s="66"/>
      <c r="N567" s="67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8"/>
      <c r="AS567" s="66"/>
      <c r="AT567" s="66"/>
      <c r="AU567" s="66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55">
        <v>2</v>
      </c>
      <c r="BG567" s="70"/>
      <c r="BH567" s="63">
        <f t="shared" si="26"/>
        <v>2</v>
      </c>
      <c r="BI567" s="63">
        <v>2</v>
      </c>
      <c r="BJ567" s="70"/>
      <c r="BK567" s="62">
        <f t="shared" si="25"/>
        <v>0</v>
      </c>
      <c r="BL567" s="63"/>
      <c r="BM567" s="71"/>
      <c r="BN567" s="71"/>
      <c r="BO567" s="71"/>
    </row>
    <row r="568" spans="2:67">
      <c r="B568" s="51" t="s">
        <v>799</v>
      </c>
      <c r="C568" s="73" t="s">
        <v>74</v>
      </c>
      <c r="D568" s="53" t="s">
        <v>799</v>
      </c>
      <c r="E568" s="151" t="s">
        <v>800</v>
      </c>
      <c r="F568" s="66"/>
      <c r="G568" s="66"/>
      <c r="H568" s="66"/>
      <c r="I568" s="66"/>
      <c r="J568" s="66"/>
      <c r="K568" s="66"/>
      <c r="L568" s="66"/>
      <c r="M568" s="66"/>
      <c r="N568" s="67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8"/>
      <c r="AS568" s="66"/>
      <c r="AT568" s="66"/>
      <c r="AU568" s="66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55">
        <v>1</v>
      </c>
      <c r="BG568" s="70"/>
      <c r="BH568" s="63">
        <f t="shared" si="26"/>
        <v>1</v>
      </c>
      <c r="BI568" s="63">
        <v>1</v>
      </c>
      <c r="BJ568" s="70"/>
      <c r="BK568" s="62">
        <f t="shared" si="25"/>
        <v>0</v>
      </c>
      <c r="BL568" s="63"/>
      <c r="BM568" s="71"/>
      <c r="BN568" s="71"/>
      <c r="BO568" s="71"/>
    </row>
    <row r="569" spans="2:67">
      <c r="B569" s="51" t="s">
        <v>801</v>
      </c>
      <c r="C569" s="73" t="s">
        <v>74</v>
      </c>
      <c r="D569" s="53" t="s">
        <v>801</v>
      </c>
      <c r="E569" s="54" t="s">
        <v>802</v>
      </c>
      <c r="F569" s="66">
        <v>1</v>
      </c>
      <c r="G569" s="66"/>
      <c r="H569" s="66"/>
      <c r="I569" s="66"/>
      <c r="J569" s="66"/>
      <c r="K569" s="66"/>
      <c r="L569" s="66"/>
      <c r="M569" s="66"/>
      <c r="N569" s="67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8"/>
      <c r="AS569" s="66"/>
      <c r="AT569" s="66"/>
      <c r="AU569" s="66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55">
        <v>4</v>
      </c>
      <c r="BG569" s="70"/>
      <c r="BH569" s="63">
        <f t="shared" si="26"/>
        <v>5</v>
      </c>
      <c r="BI569" s="63">
        <v>5</v>
      </c>
      <c r="BJ569" s="70"/>
      <c r="BK569" s="62">
        <f t="shared" si="25"/>
        <v>0</v>
      </c>
      <c r="BL569" s="63"/>
      <c r="BM569" s="71"/>
      <c r="BN569" s="71"/>
      <c r="BO569" s="71"/>
    </row>
    <row r="570" spans="2:67">
      <c r="B570" s="51" t="s">
        <v>803</v>
      </c>
      <c r="C570" s="73" t="s">
        <v>74</v>
      </c>
      <c r="D570" s="53" t="s">
        <v>803</v>
      </c>
      <c r="E570" s="151" t="s">
        <v>804</v>
      </c>
      <c r="F570" s="66"/>
      <c r="G570" s="66"/>
      <c r="H570" s="66"/>
      <c r="I570" s="66"/>
      <c r="J570" s="66"/>
      <c r="K570" s="66"/>
      <c r="L570" s="66"/>
      <c r="M570" s="66"/>
      <c r="N570" s="67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75"/>
      <c r="AM570" s="66"/>
      <c r="AN570" s="66"/>
      <c r="AO570" s="66"/>
      <c r="AP570" s="66"/>
      <c r="AQ570" s="66"/>
      <c r="AR570" s="68"/>
      <c r="AS570" s="66"/>
      <c r="AT570" s="66"/>
      <c r="AU570" s="66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55"/>
      <c r="BG570" s="70"/>
      <c r="BH570" s="63">
        <v>1</v>
      </c>
      <c r="BI570" s="63">
        <v>1</v>
      </c>
      <c r="BJ570" s="70"/>
      <c r="BK570" s="62">
        <f t="shared" si="25"/>
        <v>0</v>
      </c>
      <c r="BL570" s="63"/>
      <c r="BM570" s="71"/>
      <c r="BN570" s="71"/>
      <c r="BO570" s="71"/>
    </row>
    <row r="571" spans="2:67">
      <c r="B571" s="51" t="s">
        <v>805</v>
      </c>
      <c r="C571" s="73" t="s">
        <v>74</v>
      </c>
      <c r="D571" s="53" t="s">
        <v>805</v>
      </c>
      <c r="E571" s="151" t="s">
        <v>806</v>
      </c>
      <c r="F571" s="66"/>
      <c r="G571" s="66"/>
      <c r="H571" s="66"/>
      <c r="I571" s="66"/>
      <c r="J571" s="66"/>
      <c r="K571" s="66"/>
      <c r="L571" s="66"/>
      <c r="M571" s="66"/>
      <c r="N571" s="67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75"/>
      <c r="AM571" s="66"/>
      <c r="AN571" s="66"/>
      <c r="AO571" s="66"/>
      <c r="AP571" s="66"/>
      <c r="AQ571" s="66"/>
      <c r="AR571" s="68"/>
      <c r="AS571" s="66"/>
      <c r="AT571" s="66"/>
      <c r="AU571" s="66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55"/>
      <c r="BG571" s="70"/>
      <c r="BH571" s="63">
        <f>SUM(F571:BG571)</f>
        <v>0</v>
      </c>
      <c r="BI571" s="63">
        <v>2</v>
      </c>
      <c r="BJ571" s="70"/>
      <c r="BK571" s="62">
        <f t="shared" si="25"/>
        <v>-2</v>
      </c>
      <c r="BL571" s="63"/>
      <c r="BM571" s="71"/>
      <c r="BN571" s="71"/>
      <c r="BO571" s="71"/>
    </row>
    <row r="572" spans="2:67">
      <c r="B572" s="51" t="s">
        <v>807</v>
      </c>
      <c r="C572" s="73" t="s">
        <v>74</v>
      </c>
      <c r="D572" s="53" t="s">
        <v>807</v>
      </c>
      <c r="E572" s="151" t="s">
        <v>808</v>
      </c>
      <c r="F572" s="66"/>
      <c r="G572" s="66"/>
      <c r="H572" s="66"/>
      <c r="I572" s="66"/>
      <c r="J572" s="66"/>
      <c r="K572" s="66"/>
      <c r="L572" s="66"/>
      <c r="M572" s="66"/>
      <c r="N572" s="67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8"/>
      <c r="AS572" s="66"/>
      <c r="AT572" s="66"/>
      <c r="AU572" s="66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55"/>
      <c r="BG572" s="70"/>
      <c r="BH572" s="63">
        <f>SUM(F572:BG572)</f>
        <v>0</v>
      </c>
      <c r="BI572" s="63">
        <v>1</v>
      </c>
      <c r="BJ572" s="70"/>
      <c r="BK572" s="62">
        <f t="shared" si="25"/>
        <v>-1</v>
      </c>
      <c r="BL572" s="63"/>
      <c r="BM572" s="71"/>
      <c r="BN572" s="65"/>
      <c r="BO572" s="65"/>
    </row>
    <row r="573" spans="2:67">
      <c r="B573" s="51" t="s">
        <v>809</v>
      </c>
      <c r="C573" s="73" t="s">
        <v>74</v>
      </c>
      <c r="D573" s="53" t="s">
        <v>809</v>
      </c>
      <c r="E573" s="54" t="s">
        <v>810</v>
      </c>
      <c r="F573" s="55"/>
      <c r="G573" s="66"/>
      <c r="H573" s="66">
        <v>1</v>
      </c>
      <c r="I573" s="66"/>
      <c r="J573" s="66"/>
      <c r="K573" s="66"/>
      <c r="L573" s="66"/>
      <c r="M573" s="66">
        <v>1</v>
      </c>
      <c r="N573" s="67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75"/>
      <c r="AM573" s="66"/>
      <c r="AN573" s="66"/>
      <c r="AO573" s="66"/>
      <c r="AP573" s="66"/>
      <c r="AQ573" s="66"/>
      <c r="AR573" s="68"/>
      <c r="AS573" s="66"/>
      <c r="AT573" s="66"/>
      <c r="AU573" s="66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55"/>
      <c r="BG573" s="70"/>
      <c r="BH573" s="63">
        <f>SUM(F573:BG573)</f>
        <v>2</v>
      </c>
      <c r="BI573" s="63">
        <v>2</v>
      </c>
      <c r="BJ573" s="70"/>
      <c r="BK573" s="62">
        <f t="shared" si="25"/>
        <v>0</v>
      </c>
      <c r="BL573" s="63"/>
      <c r="BM573" s="71"/>
      <c r="BN573" s="65"/>
      <c r="BO573" s="65"/>
    </row>
    <row r="574" spans="2:67" ht="15">
      <c r="B574" s="51" t="s">
        <v>811</v>
      </c>
      <c r="C574" s="73" t="s">
        <v>74</v>
      </c>
      <c r="D574" s="53" t="s">
        <v>811</v>
      </c>
      <c r="E574" s="153" t="s">
        <v>812</v>
      </c>
      <c r="F574" s="66"/>
      <c r="G574" s="66"/>
      <c r="H574" s="66"/>
      <c r="I574" s="66"/>
      <c r="J574" s="66"/>
      <c r="K574" s="66">
        <v>2</v>
      </c>
      <c r="L574" s="66"/>
      <c r="M574" s="66"/>
      <c r="N574" s="67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8"/>
      <c r="AS574" s="66"/>
      <c r="AT574" s="66"/>
      <c r="AU574" s="66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55"/>
      <c r="BG574" s="70"/>
      <c r="BH574" s="63">
        <f>SUM(F574:BG574)</f>
        <v>2</v>
      </c>
      <c r="BI574" s="63">
        <v>2</v>
      </c>
      <c r="BJ574" s="70"/>
      <c r="BK574" s="62">
        <f t="shared" si="25"/>
        <v>0</v>
      </c>
      <c r="BL574" s="63"/>
      <c r="BM574" s="71"/>
      <c r="BN574" s="71"/>
      <c r="BO574" s="71"/>
    </row>
    <row r="575" spans="2:67" ht="15">
      <c r="B575" s="51" t="s">
        <v>813</v>
      </c>
      <c r="C575" s="73" t="s">
        <v>74</v>
      </c>
      <c r="D575" s="53" t="s">
        <v>813</v>
      </c>
      <c r="E575" s="154" t="s">
        <v>814</v>
      </c>
      <c r="F575" s="55"/>
      <c r="G575" s="55"/>
      <c r="H575" s="55"/>
      <c r="I575" s="55"/>
      <c r="J575" s="55"/>
      <c r="K575" s="55"/>
      <c r="L575" s="55"/>
      <c r="M575" s="55"/>
      <c r="N575" s="56">
        <v>1</v>
      </c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76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70"/>
      <c r="BH575" s="63">
        <f>SUM(F575:BG575)</f>
        <v>1</v>
      </c>
      <c r="BI575" s="63">
        <v>1</v>
      </c>
      <c r="BJ575" s="70"/>
      <c r="BK575" s="62">
        <f t="shared" si="25"/>
        <v>0</v>
      </c>
      <c r="BL575" s="63"/>
      <c r="BM575" s="71"/>
      <c r="BN575" s="65"/>
      <c r="BO575" s="65"/>
    </row>
    <row r="576" spans="2:67">
      <c r="B576" s="87"/>
      <c r="C576" s="87"/>
      <c r="D576" s="87"/>
      <c r="E576" s="87"/>
    </row>
    <row r="577" spans="2:5">
      <c r="B577" s="87"/>
      <c r="C577" s="87"/>
      <c r="D577" s="87"/>
      <c r="E577" s="87"/>
    </row>
    <row r="578" spans="2:5">
      <c r="B578" s="87"/>
      <c r="C578" s="87"/>
      <c r="D578" s="87"/>
      <c r="E578" s="87"/>
    </row>
    <row r="579" spans="2:5">
      <c r="B579" s="87"/>
      <c r="C579" s="87"/>
      <c r="D579" s="87"/>
      <c r="E579" s="87"/>
    </row>
    <row r="580" spans="2:5">
      <c r="B580" s="87"/>
      <c r="C580" s="87"/>
      <c r="D580" s="87"/>
      <c r="E580" s="87"/>
    </row>
    <row r="581" spans="2:5">
      <c r="B581" s="87"/>
      <c r="C581" s="87"/>
      <c r="D581" s="87"/>
      <c r="E581" s="87"/>
    </row>
    <row r="582" spans="2:5">
      <c r="B582" s="87"/>
      <c r="C582" s="87"/>
      <c r="D582" s="87"/>
      <c r="E582" s="87"/>
    </row>
    <row r="583" spans="2:5">
      <c r="B583" s="87"/>
      <c r="C583" s="87"/>
      <c r="D583" s="87"/>
      <c r="E583" s="87"/>
    </row>
    <row r="584" spans="2:5">
      <c r="B584" s="87"/>
      <c r="C584" s="87"/>
      <c r="D584" s="87"/>
      <c r="E584" s="87"/>
    </row>
    <row r="585" spans="2:5">
      <c r="B585" s="87"/>
      <c r="C585" s="87"/>
      <c r="D585" s="87"/>
      <c r="E585" s="87"/>
    </row>
    <row r="586" spans="2:5">
      <c r="B586" s="87"/>
      <c r="C586" s="87"/>
      <c r="D586" s="87"/>
      <c r="E586" s="87"/>
    </row>
    <row r="587" spans="2:5">
      <c r="B587" s="87"/>
      <c r="C587" s="87"/>
      <c r="D587" s="87"/>
      <c r="E587" s="87"/>
    </row>
    <row r="588" spans="2:5">
      <c r="B588" s="87"/>
      <c r="C588" s="87"/>
      <c r="D588" s="87"/>
      <c r="E588" s="87"/>
    </row>
    <row r="589" spans="2:5">
      <c r="B589" s="87"/>
      <c r="C589" s="87"/>
      <c r="D589" s="87"/>
      <c r="E589" s="87"/>
    </row>
    <row r="590" spans="2:5">
      <c r="B590" s="87"/>
      <c r="C590" s="87"/>
      <c r="D590" s="87"/>
      <c r="E590" s="87"/>
    </row>
    <row r="591" spans="2:5">
      <c r="B591" s="87"/>
      <c r="C591" s="87"/>
      <c r="D591" s="87"/>
      <c r="E591" s="87"/>
    </row>
    <row r="592" spans="2:5">
      <c r="B592" s="87"/>
      <c r="C592" s="87"/>
      <c r="D592" s="87"/>
      <c r="E592" s="87"/>
    </row>
    <row r="593" spans="2:67">
      <c r="B593" s="87"/>
      <c r="C593" s="87"/>
      <c r="D593" s="87"/>
      <c r="E593" s="87"/>
    </row>
    <row r="594" spans="2:67">
      <c r="B594" s="87"/>
      <c r="C594" s="87"/>
      <c r="D594" s="87"/>
      <c r="E594" s="87"/>
    </row>
    <row r="595" spans="2:67">
      <c r="B595" s="87"/>
      <c r="C595" s="87"/>
      <c r="D595" s="87"/>
      <c r="E595" s="87"/>
    </row>
    <row r="596" spans="2:67">
      <c r="B596" s="87"/>
      <c r="C596" s="87"/>
      <c r="D596" s="87"/>
      <c r="E596" s="87"/>
    </row>
    <row r="597" spans="2:67">
      <c r="B597" s="87"/>
      <c r="C597" s="87"/>
      <c r="D597" s="87"/>
      <c r="E597" s="87"/>
    </row>
    <row r="598" spans="2:67">
      <c r="B598" s="87"/>
      <c r="C598" s="87"/>
      <c r="D598" s="87"/>
      <c r="E598" s="87"/>
    </row>
    <row r="599" spans="2:67">
      <c r="B599" s="87"/>
      <c r="C599" s="87"/>
      <c r="D599" s="87"/>
      <c r="E599" s="87"/>
    </row>
    <row r="600" spans="2:67">
      <c r="B600" s="87"/>
      <c r="C600" s="87"/>
      <c r="D600" s="87"/>
      <c r="E600" s="87"/>
    </row>
    <row r="601" spans="2:67">
      <c r="B601" s="2" t="s">
        <v>1</v>
      </c>
      <c r="C601" s="2"/>
      <c r="D601" s="2"/>
      <c r="E601" s="2"/>
      <c r="F601" s="3"/>
      <c r="G601" s="4"/>
      <c r="H601" s="4"/>
      <c r="I601" s="4"/>
      <c r="J601" s="4"/>
      <c r="K601" s="4"/>
      <c r="L601" s="4"/>
      <c r="M601" s="4"/>
      <c r="N601" s="107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5"/>
      <c r="AE601" s="5"/>
      <c r="AF601" s="5"/>
      <c r="AG601" s="5"/>
      <c r="AH601" s="5"/>
      <c r="AI601" s="5"/>
      <c r="AJ601" s="5"/>
      <c r="AK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7"/>
      <c r="BI601" s="7"/>
      <c r="BJ601" s="5"/>
      <c r="BK601" s="5"/>
      <c r="BM601" s="5"/>
      <c r="BN601" s="5"/>
      <c r="BO601" s="5"/>
    </row>
    <row r="602" spans="2:67" ht="18.75">
      <c r="B602" s="2"/>
      <c r="C602" s="2"/>
      <c r="D602" s="2"/>
      <c r="E602" s="2"/>
      <c r="F602" s="139" t="s">
        <v>0</v>
      </c>
      <c r="G602" s="139"/>
      <c r="H602" s="139"/>
      <c r="I602" s="139"/>
      <c r="J602" s="139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40"/>
      <c r="Z602" s="140"/>
      <c r="AA602" s="140"/>
      <c r="AB602" s="140"/>
      <c r="AC602" s="140"/>
      <c r="AD602" s="140"/>
      <c r="AE602" s="141"/>
      <c r="AF602" s="8"/>
      <c r="AG602" s="8"/>
      <c r="AH602" s="8"/>
      <c r="AI602" s="8"/>
      <c r="AJ602" s="8"/>
      <c r="AK602" s="8"/>
      <c r="AL602" s="142"/>
      <c r="AM602" s="8"/>
      <c r="AN602" s="8"/>
      <c r="AO602" s="8"/>
      <c r="AP602" s="8"/>
      <c r="AQ602" s="8"/>
      <c r="AR602" s="143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9" t="s">
        <v>815</v>
      </c>
      <c r="BG602" s="10"/>
      <c r="BH602" s="10"/>
      <c r="BI602" s="10"/>
      <c r="BJ602" s="10"/>
      <c r="BK602" s="10"/>
      <c r="BL602" s="10"/>
      <c r="BM602" s="10"/>
      <c r="BN602" s="10"/>
      <c r="BO602" s="11"/>
    </row>
    <row r="603" spans="2:67">
      <c r="B603" s="12"/>
      <c r="C603" s="12"/>
      <c r="D603" s="12"/>
      <c r="E603" s="12"/>
      <c r="F603" s="13"/>
      <c r="G603" s="14" t="s">
        <v>3</v>
      </c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6"/>
      <c r="AM603" s="15"/>
      <c r="AN603" s="15"/>
      <c r="AO603" s="15"/>
      <c r="AP603" s="15"/>
      <c r="AQ603" s="15"/>
      <c r="AR603" s="17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8"/>
      <c r="BM603" s="15"/>
      <c r="BN603" s="15"/>
      <c r="BO603" s="15"/>
    </row>
    <row r="604" spans="2:67" ht="15">
      <c r="B604" s="19" t="s">
        <v>4</v>
      </c>
      <c r="C604" s="20" t="s">
        <v>5</v>
      </c>
      <c r="D604" s="20"/>
      <c r="E604" s="21" t="s">
        <v>6</v>
      </c>
      <c r="F604" s="110" t="s">
        <v>135</v>
      </c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24" t="s">
        <v>8</v>
      </c>
      <c r="BG604" s="25"/>
      <c r="BH604" s="25"/>
      <c r="BI604" s="26"/>
      <c r="BJ604" s="31" t="s">
        <v>9</v>
      </c>
      <c r="BK604" s="32"/>
      <c r="BL604" s="29"/>
      <c r="BM604" s="30"/>
      <c r="BN604" s="31" t="s">
        <v>10</v>
      </c>
      <c r="BO604" s="32"/>
    </row>
    <row r="605" spans="2:67" ht="120">
      <c r="B605" s="33"/>
      <c r="C605" s="34" t="s">
        <v>11</v>
      </c>
      <c r="D605" s="35" t="s">
        <v>4</v>
      </c>
      <c r="E605" s="35" t="s">
        <v>12</v>
      </c>
      <c r="F605" s="36" t="s">
        <v>13</v>
      </c>
      <c r="G605" s="36" t="s">
        <v>14</v>
      </c>
      <c r="H605" s="36" t="s">
        <v>15</v>
      </c>
      <c r="I605" s="36" t="s">
        <v>16</v>
      </c>
      <c r="J605" s="36" t="s">
        <v>17</v>
      </c>
      <c r="K605" s="36" t="s">
        <v>18</v>
      </c>
      <c r="L605" s="36" t="s">
        <v>19</v>
      </c>
      <c r="M605" s="36" t="s">
        <v>20</v>
      </c>
      <c r="N605" s="37" t="s">
        <v>21</v>
      </c>
      <c r="O605" s="36" t="s">
        <v>22</v>
      </c>
      <c r="P605" s="36" t="s">
        <v>23</v>
      </c>
      <c r="Q605" s="36" t="s">
        <v>24</v>
      </c>
      <c r="R605" s="36" t="s">
        <v>25</v>
      </c>
      <c r="S605" s="36" t="s">
        <v>26</v>
      </c>
      <c r="T605" s="36" t="s">
        <v>27</v>
      </c>
      <c r="U605" s="36" t="s">
        <v>28</v>
      </c>
      <c r="V605" s="36" t="s">
        <v>29</v>
      </c>
      <c r="W605" s="36" t="s">
        <v>30</v>
      </c>
      <c r="X605" s="38" t="s">
        <v>31</v>
      </c>
      <c r="Y605" s="36" t="s">
        <v>32</v>
      </c>
      <c r="Z605" s="36" t="s">
        <v>33</v>
      </c>
      <c r="AA605" s="36" t="s">
        <v>34</v>
      </c>
      <c r="AB605" s="38" t="s">
        <v>35</v>
      </c>
      <c r="AC605" s="36" t="s">
        <v>36</v>
      </c>
      <c r="AD605" s="39" t="s">
        <v>37</v>
      </c>
      <c r="AE605" s="36" t="s">
        <v>38</v>
      </c>
      <c r="AF605" s="40" t="s">
        <v>39</v>
      </c>
      <c r="AG605" s="40" t="s">
        <v>40</v>
      </c>
      <c r="AH605" s="40" t="s">
        <v>41</v>
      </c>
      <c r="AI605" s="40" t="s">
        <v>42</v>
      </c>
      <c r="AJ605" s="40" t="s">
        <v>43</v>
      </c>
      <c r="AK605" s="40" t="s">
        <v>44</v>
      </c>
      <c r="AL605" s="41" t="s">
        <v>45</v>
      </c>
      <c r="AM605" s="42" t="s">
        <v>46</v>
      </c>
      <c r="AN605" s="155" t="s">
        <v>47</v>
      </c>
      <c r="AO605" s="40" t="s">
        <v>48</v>
      </c>
      <c r="AP605" s="40" t="s">
        <v>49</v>
      </c>
      <c r="AQ605" s="40" t="s">
        <v>50</v>
      </c>
      <c r="AR605" s="44" t="s">
        <v>136</v>
      </c>
      <c r="AS605" s="36" t="s">
        <v>52</v>
      </c>
      <c r="AT605" s="36" t="s">
        <v>53</v>
      </c>
      <c r="AU605" s="36" t="s">
        <v>54</v>
      </c>
      <c r="AV605" s="36" t="s">
        <v>55</v>
      </c>
      <c r="AW605" s="36" t="s">
        <v>56</v>
      </c>
      <c r="AX605" s="36" t="s">
        <v>203</v>
      </c>
      <c r="AY605" s="36" t="s">
        <v>58</v>
      </c>
      <c r="AZ605" s="38" t="s">
        <v>59</v>
      </c>
      <c r="BA605" s="36" t="s">
        <v>60</v>
      </c>
      <c r="BB605" s="36" t="s">
        <v>61</v>
      </c>
      <c r="BC605" s="39" t="s">
        <v>62</v>
      </c>
      <c r="BD605" s="36" t="s">
        <v>63</v>
      </c>
      <c r="BE605" s="36" t="s">
        <v>64</v>
      </c>
      <c r="BF605" s="45" t="s">
        <v>65</v>
      </c>
      <c r="BG605" s="45" t="s">
        <v>66</v>
      </c>
      <c r="BH605" s="45" t="s">
        <v>67</v>
      </c>
      <c r="BI605" s="45" t="s">
        <v>68</v>
      </c>
      <c r="BJ605" s="46" t="s">
        <v>69</v>
      </c>
      <c r="BK605" s="46" t="s">
        <v>70</v>
      </c>
      <c r="BL605" s="47" t="s">
        <v>71</v>
      </c>
      <c r="BM605" s="48" t="s">
        <v>72</v>
      </c>
      <c r="BN605" s="49" t="s">
        <v>69</v>
      </c>
      <c r="BO605" s="50" t="s">
        <v>70</v>
      </c>
    </row>
    <row r="606" spans="2:67">
      <c r="B606" s="51" t="s">
        <v>816</v>
      </c>
      <c r="C606" s="52" t="s">
        <v>74</v>
      </c>
      <c r="D606" s="53" t="s">
        <v>816</v>
      </c>
      <c r="E606" s="156" t="s">
        <v>817</v>
      </c>
      <c r="F606" s="55"/>
      <c r="G606" s="55"/>
      <c r="H606" s="55"/>
      <c r="I606" s="55"/>
      <c r="J606" s="55"/>
      <c r="K606" s="55"/>
      <c r="L606" s="55"/>
      <c r="M606" s="55"/>
      <c r="N606" s="56">
        <v>1</v>
      </c>
      <c r="O606" s="55"/>
      <c r="P606" s="55"/>
      <c r="Q606" s="57"/>
      <c r="R606" s="55"/>
      <c r="S606" s="58"/>
      <c r="T606" s="58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7"/>
      <c r="AF606" s="57"/>
      <c r="AG606" s="57"/>
      <c r="AH606" s="57"/>
      <c r="AI606" s="57"/>
      <c r="AJ606" s="57"/>
      <c r="AK606" s="57"/>
      <c r="AL606" s="59"/>
      <c r="AM606" s="57"/>
      <c r="AN606" s="57"/>
      <c r="AO606" s="55"/>
      <c r="AP606" s="55"/>
      <c r="AQ606" s="57"/>
      <c r="AR606" s="60"/>
      <c r="AS606" s="57"/>
      <c r="AT606" s="57"/>
      <c r="AU606" s="57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55"/>
      <c r="BG606" s="62"/>
      <c r="BH606" s="63">
        <f t="shared" ref="BH606:BH635" si="27">SUM(F606:BG606)</f>
        <v>1</v>
      </c>
      <c r="BI606" s="64">
        <v>1</v>
      </c>
      <c r="BJ606" s="62"/>
      <c r="BK606" s="62">
        <f>BH606-BI606</f>
        <v>0</v>
      </c>
      <c r="BL606" s="64"/>
      <c r="BM606" s="65"/>
      <c r="BN606" s="65"/>
      <c r="BO606" s="65"/>
    </row>
    <row r="607" spans="2:67">
      <c r="B607" s="51" t="s">
        <v>818</v>
      </c>
      <c r="C607" s="52" t="s">
        <v>74</v>
      </c>
      <c r="D607" s="53" t="s">
        <v>818</v>
      </c>
      <c r="E607" s="156" t="s">
        <v>819</v>
      </c>
      <c r="F607" s="66"/>
      <c r="G607" s="66"/>
      <c r="H607" s="66"/>
      <c r="I607" s="66"/>
      <c r="J607" s="66"/>
      <c r="K607" s="66"/>
      <c r="L607" s="66"/>
      <c r="M607" s="66"/>
      <c r="N607" s="67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8"/>
      <c r="AS607" s="66"/>
      <c r="AT607" s="66"/>
      <c r="AU607" s="66">
        <v>40</v>
      </c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55"/>
      <c r="BG607" s="70"/>
      <c r="BH607" s="63">
        <f t="shared" si="27"/>
        <v>40</v>
      </c>
      <c r="BI607" s="63">
        <v>40</v>
      </c>
      <c r="BJ607" s="70"/>
      <c r="BK607" s="62">
        <f t="shared" ref="BK607:BK635" si="28">BH607-BI607</f>
        <v>0</v>
      </c>
      <c r="BL607" s="63"/>
      <c r="BM607" s="71"/>
      <c r="BN607" s="71"/>
      <c r="BO607" s="72"/>
    </row>
    <row r="608" spans="2:67">
      <c r="B608" s="51" t="s">
        <v>820</v>
      </c>
      <c r="C608" s="73" t="s">
        <v>74</v>
      </c>
      <c r="D608" s="53" t="s">
        <v>820</v>
      </c>
      <c r="E608" s="54" t="s">
        <v>821</v>
      </c>
      <c r="F608" s="66"/>
      <c r="G608" s="66"/>
      <c r="H608" s="66"/>
      <c r="I608" s="66"/>
      <c r="J608" s="66"/>
      <c r="K608" s="66"/>
      <c r="L608" s="66"/>
      <c r="M608" s="66"/>
      <c r="N608" s="67"/>
      <c r="O608" s="66"/>
      <c r="P608" s="66"/>
      <c r="Q608" s="66"/>
      <c r="R608" s="66"/>
      <c r="S608" s="66"/>
      <c r="T608" s="66"/>
      <c r="U608" s="66"/>
      <c r="V608" s="66"/>
      <c r="W608" s="66"/>
      <c r="X608" s="66">
        <v>1</v>
      </c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8"/>
      <c r="AS608" s="66"/>
      <c r="AT608" s="66"/>
      <c r="AU608" s="66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55"/>
      <c r="BG608" s="70"/>
      <c r="BH608" s="63">
        <f t="shared" si="27"/>
        <v>1</v>
      </c>
      <c r="BI608" s="63">
        <v>1</v>
      </c>
      <c r="BJ608" s="70"/>
      <c r="BK608" s="62">
        <f t="shared" si="28"/>
        <v>0</v>
      </c>
      <c r="BL608" s="63"/>
      <c r="BM608" s="71"/>
      <c r="BN608" s="72"/>
      <c r="BO608" s="71"/>
    </row>
    <row r="609" spans="2:67">
      <c r="B609" s="51" t="s">
        <v>822</v>
      </c>
      <c r="C609" s="73" t="s">
        <v>74</v>
      </c>
      <c r="D609" s="53" t="s">
        <v>822</v>
      </c>
      <c r="E609" s="54" t="s">
        <v>823</v>
      </c>
      <c r="F609" s="66"/>
      <c r="G609" s="66"/>
      <c r="H609" s="66"/>
      <c r="I609" s="66"/>
      <c r="J609" s="66"/>
      <c r="K609" s="66"/>
      <c r="L609" s="66"/>
      <c r="M609" s="66"/>
      <c r="N609" s="67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>
        <v>1</v>
      </c>
      <c r="AO609" s="66"/>
      <c r="AP609" s="66"/>
      <c r="AQ609" s="66"/>
      <c r="AR609" s="68"/>
      <c r="AS609" s="66"/>
      <c r="AT609" s="66"/>
      <c r="AU609" s="66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55"/>
      <c r="BG609" s="70"/>
      <c r="BH609" s="63">
        <f t="shared" si="27"/>
        <v>1</v>
      </c>
      <c r="BI609" s="63">
        <v>1</v>
      </c>
      <c r="BJ609" s="70"/>
      <c r="BK609" s="62">
        <f t="shared" si="28"/>
        <v>0</v>
      </c>
      <c r="BL609" s="63"/>
      <c r="BM609" s="71"/>
      <c r="BN609" s="71"/>
      <c r="BO609" s="71"/>
    </row>
    <row r="610" spans="2:67">
      <c r="B610" s="51" t="s">
        <v>824</v>
      </c>
      <c r="C610" s="73" t="s">
        <v>74</v>
      </c>
      <c r="D610" s="53" t="s">
        <v>824</v>
      </c>
      <c r="E610" s="54" t="s">
        <v>825</v>
      </c>
      <c r="F610" s="66"/>
      <c r="G610" s="66"/>
      <c r="H610" s="66"/>
      <c r="I610" s="66"/>
      <c r="J610" s="66"/>
      <c r="K610" s="66"/>
      <c r="L610" s="66"/>
      <c r="M610" s="66"/>
      <c r="N610" s="67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>
        <v>1</v>
      </c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8"/>
      <c r="AS610" s="66"/>
      <c r="AT610" s="66"/>
      <c r="AU610" s="66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55"/>
      <c r="BG610" s="70"/>
      <c r="BH610" s="63">
        <f t="shared" si="27"/>
        <v>1</v>
      </c>
      <c r="BI610" s="63">
        <v>1</v>
      </c>
      <c r="BJ610" s="70"/>
      <c r="BK610" s="62">
        <f t="shared" si="28"/>
        <v>0</v>
      </c>
      <c r="BL610" s="63"/>
      <c r="BM610" s="71"/>
      <c r="BN610" s="71"/>
      <c r="BO610" s="71"/>
    </row>
    <row r="611" spans="2:67">
      <c r="B611" s="51" t="s">
        <v>826</v>
      </c>
      <c r="C611" s="73" t="s">
        <v>74</v>
      </c>
      <c r="D611" s="53" t="s">
        <v>826</v>
      </c>
      <c r="E611" s="74" t="s">
        <v>827</v>
      </c>
      <c r="F611" s="66"/>
      <c r="G611" s="66"/>
      <c r="H611" s="66"/>
      <c r="I611" s="66"/>
      <c r="J611" s="66"/>
      <c r="K611" s="66"/>
      <c r="L611" s="66"/>
      <c r="M611" s="66"/>
      <c r="N611" s="67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8"/>
      <c r="AS611" s="66"/>
      <c r="AT611" s="66"/>
      <c r="AU611" s="66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55">
        <v>1</v>
      </c>
      <c r="BG611" s="70"/>
      <c r="BH611" s="63">
        <f t="shared" si="27"/>
        <v>1</v>
      </c>
      <c r="BI611" s="63">
        <v>1</v>
      </c>
      <c r="BJ611" s="70"/>
      <c r="BK611" s="62">
        <f t="shared" si="28"/>
        <v>0</v>
      </c>
      <c r="BL611" s="63"/>
      <c r="BM611" s="71"/>
      <c r="BN611" s="71"/>
      <c r="BO611" s="71"/>
    </row>
    <row r="612" spans="2:67">
      <c r="B612" s="51" t="s">
        <v>828</v>
      </c>
      <c r="C612" s="73" t="s">
        <v>74</v>
      </c>
      <c r="D612" s="53" t="s">
        <v>828</v>
      </c>
      <c r="E612" s="54" t="s">
        <v>829</v>
      </c>
      <c r="F612" s="66"/>
      <c r="G612" s="66"/>
      <c r="H612" s="66"/>
      <c r="I612" s="66"/>
      <c r="J612" s="66"/>
      <c r="K612" s="66"/>
      <c r="L612" s="66"/>
      <c r="M612" s="66"/>
      <c r="N612" s="67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8"/>
      <c r="AS612" s="66"/>
      <c r="AT612" s="66"/>
      <c r="AU612" s="66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55"/>
      <c r="BG612" s="70"/>
      <c r="BH612" s="63">
        <f t="shared" si="27"/>
        <v>0</v>
      </c>
      <c r="BI612" s="63">
        <v>0</v>
      </c>
      <c r="BJ612" s="70"/>
      <c r="BK612" s="62">
        <f t="shared" si="28"/>
        <v>0</v>
      </c>
      <c r="BL612" s="63" t="s">
        <v>449</v>
      </c>
      <c r="BM612" s="71"/>
      <c r="BN612" s="71"/>
      <c r="BO612" s="71"/>
    </row>
    <row r="613" spans="2:67">
      <c r="B613" s="51" t="s">
        <v>830</v>
      </c>
      <c r="C613" s="73" t="s">
        <v>74</v>
      </c>
      <c r="D613" s="53" t="s">
        <v>830</v>
      </c>
      <c r="E613" s="54" t="s">
        <v>831</v>
      </c>
      <c r="F613" s="66"/>
      <c r="G613" s="66"/>
      <c r="H613" s="66"/>
      <c r="I613" s="66"/>
      <c r="J613" s="66"/>
      <c r="K613" s="66"/>
      <c r="L613" s="66"/>
      <c r="M613" s="66"/>
      <c r="N613" s="67"/>
      <c r="O613" s="66"/>
      <c r="P613" s="66"/>
      <c r="Q613" s="66"/>
      <c r="R613" s="66"/>
      <c r="S613" s="66"/>
      <c r="T613" s="66"/>
      <c r="U613" s="66">
        <v>1</v>
      </c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8"/>
      <c r="AS613" s="66"/>
      <c r="AT613" s="66"/>
      <c r="AU613" s="66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55"/>
      <c r="BG613" s="70"/>
      <c r="BH613" s="63">
        <f t="shared" si="27"/>
        <v>1</v>
      </c>
      <c r="BI613" s="63">
        <v>1</v>
      </c>
      <c r="BJ613" s="70"/>
      <c r="BK613" s="62">
        <f t="shared" si="28"/>
        <v>0</v>
      </c>
      <c r="BL613" s="63"/>
      <c r="BM613" s="71"/>
      <c r="BN613" s="71"/>
      <c r="BO613" s="71"/>
    </row>
    <row r="614" spans="2:67" ht="16.5" customHeight="1">
      <c r="B614" s="51" t="s">
        <v>832</v>
      </c>
      <c r="C614" s="73" t="s">
        <v>74</v>
      </c>
      <c r="D614" s="53" t="s">
        <v>832</v>
      </c>
      <c r="E614" s="54" t="s">
        <v>833</v>
      </c>
      <c r="F614" s="66"/>
      <c r="G614" s="66"/>
      <c r="H614" s="66"/>
      <c r="I614" s="66"/>
      <c r="J614" s="66"/>
      <c r="K614" s="66"/>
      <c r="L614" s="66"/>
      <c r="M614" s="66"/>
      <c r="N614" s="67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>
        <v>1</v>
      </c>
      <c r="AC614" s="66"/>
      <c r="AD614" s="66">
        <v>1</v>
      </c>
      <c r="AE614" s="66"/>
      <c r="AF614" s="66"/>
      <c r="AG614" s="66"/>
      <c r="AH614" s="66"/>
      <c r="AI614" s="66">
        <v>1</v>
      </c>
      <c r="AJ614" s="66"/>
      <c r="AK614" s="66"/>
      <c r="AL614" s="66"/>
      <c r="AM614" s="66"/>
      <c r="AN614" s="66"/>
      <c r="AO614" s="66"/>
      <c r="AP614" s="66"/>
      <c r="AQ614" s="66"/>
      <c r="AR614" s="68"/>
      <c r="AS614" s="66"/>
      <c r="AT614" s="66"/>
      <c r="AU614" s="66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55"/>
      <c r="BG614" s="70"/>
      <c r="BH614" s="63">
        <f t="shared" si="27"/>
        <v>3</v>
      </c>
      <c r="BI614" s="63">
        <v>3</v>
      </c>
      <c r="BJ614" s="70"/>
      <c r="BK614" s="62">
        <f t="shared" si="28"/>
        <v>0</v>
      </c>
      <c r="BL614" s="63"/>
      <c r="BM614" s="71"/>
      <c r="BN614" s="71"/>
      <c r="BO614" s="71"/>
    </row>
    <row r="615" spans="2:67">
      <c r="B615" s="51" t="s">
        <v>834</v>
      </c>
      <c r="C615" s="73" t="s">
        <v>74</v>
      </c>
      <c r="D615" s="53" t="s">
        <v>834</v>
      </c>
      <c r="E615" s="54" t="s">
        <v>835</v>
      </c>
      <c r="F615" s="66"/>
      <c r="G615" s="66"/>
      <c r="H615" s="66"/>
      <c r="I615" s="66"/>
      <c r="J615" s="66"/>
      <c r="K615" s="66"/>
      <c r="L615" s="66"/>
      <c r="M615" s="66"/>
      <c r="N615" s="67"/>
      <c r="O615" s="66"/>
      <c r="P615" s="66"/>
      <c r="Q615" s="66"/>
      <c r="R615" s="66"/>
      <c r="S615" s="66"/>
      <c r="T615" s="66"/>
      <c r="U615" s="66"/>
      <c r="V615" s="66"/>
      <c r="W615" s="66"/>
      <c r="X615" s="66">
        <v>2</v>
      </c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>
        <v>2</v>
      </c>
      <c r="AN615" s="66"/>
      <c r="AO615" s="66"/>
      <c r="AP615" s="66"/>
      <c r="AQ615" s="66"/>
      <c r="AR615" s="68"/>
      <c r="AS615" s="66"/>
      <c r="AT615" s="66"/>
      <c r="AU615" s="66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55"/>
      <c r="BG615" s="70"/>
      <c r="BH615" s="63">
        <f t="shared" si="27"/>
        <v>4</v>
      </c>
      <c r="BI615" s="63">
        <v>4</v>
      </c>
      <c r="BJ615" s="70"/>
      <c r="BK615" s="62">
        <f t="shared" si="28"/>
        <v>0</v>
      </c>
      <c r="BL615" s="63"/>
      <c r="BM615" s="71"/>
      <c r="BN615" s="71"/>
      <c r="BO615" s="71"/>
    </row>
    <row r="616" spans="2:67">
      <c r="B616" s="51" t="s">
        <v>836</v>
      </c>
      <c r="C616" s="73" t="s">
        <v>74</v>
      </c>
      <c r="D616" s="53" t="s">
        <v>836</v>
      </c>
      <c r="E616" s="54" t="s">
        <v>837</v>
      </c>
      <c r="F616" s="66"/>
      <c r="G616" s="66"/>
      <c r="H616" s="66"/>
      <c r="I616" s="66"/>
      <c r="J616" s="66"/>
      <c r="K616" s="66"/>
      <c r="L616" s="66"/>
      <c r="M616" s="66"/>
      <c r="N616" s="67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>
        <v>2</v>
      </c>
      <c r="AE616" s="66"/>
      <c r="AF616" s="66"/>
      <c r="AG616" s="66"/>
      <c r="AH616" s="66"/>
      <c r="AI616" s="66"/>
      <c r="AJ616" s="66">
        <v>2</v>
      </c>
      <c r="AK616" s="66"/>
      <c r="AL616" s="66"/>
      <c r="AM616" s="66"/>
      <c r="AN616" s="66"/>
      <c r="AO616" s="66"/>
      <c r="AP616" s="66"/>
      <c r="AQ616" s="66"/>
      <c r="AR616" s="68"/>
      <c r="AS616" s="66"/>
      <c r="AT616" s="66"/>
      <c r="AU616" s="66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55"/>
      <c r="BG616" s="70"/>
      <c r="BH616" s="63">
        <f t="shared" si="27"/>
        <v>4</v>
      </c>
      <c r="BI616" s="63">
        <v>4</v>
      </c>
      <c r="BJ616" s="70"/>
      <c r="BK616" s="62">
        <f t="shared" si="28"/>
        <v>0</v>
      </c>
      <c r="BL616" s="63"/>
      <c r="BM616" s="71"/>
      <c r="BN616" s="71"/>
      <c r="BO616" s="71"/>
    </row>
    <row r="617" spans="2:67">
      <c r="B617" s="51" t="s">
        <v>838</v>
      </c>
      <c r="C617" s="73" t="s">
        <v>74</v>
      </c>
      <c r="D617" s="53" t="s">
        <v>838</v>
      </c>
      <c r="E617" s="54" t="s">
        <v>839</v>
      </c>
      <c r="F617" s="66"/>
      <c r="G617" s="66"/>
      <c r="H617" s="66"/>
      <c r="I617" s="66"/>
      <c r="J617" s="66"/>
      <c r="K617" s="66"/>
      <c r="L617" s="66"/>
      <c r="M617" s="66"/>
      <c r="N617" s="67"/>
      <c r="O617" s="66"/>
      <c r="P617" s="66"/>
      <c r="Q617" s="66"/>
      <c r="R617" s="66"/>
      <c r="S617" s="66"/>
      <c r="T617" s="66"/>
      <c r="U617" s="66">
        <v>1</v>
      </c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8"/>
      <c r="AS617" s="66"/>
      <c r="AT617" s="66"/>
      <c r="AU617" s="66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55"/>
      <c r="BG617" s="70"/>
      <c r="BH617" s="63">
        <f t="shared" si="27"/>
        <v>1</v>
      </c>
      <c r="BI617" s="63">
        <v>1</v>
      </c>
      <c r="BJ617" s="70"/>
      <c r="BK617" s="62">
        <f t="shared" si="28"/>
        <v>0</v>
      </c>
      <c r="BL617" s="63"/>
      <c r="BM617" s="71"/>
      <c r="BN617" s="71"/>
      <c r="BO617" s="71"/>
    </row>
    <row r="618" spans="2:67">
      <c r="B618" s="51" t="s">
        <v>840</v>
      </c>
      <c r="C618" s="73" t="s">
        <v>74</v>
      </c>
      <c r="D618" s="53" t="s">
        <v>840</v>
      </c>
      <c r="E618" s="54" t="s">
        <v>841</v>
      </c>
      <c r="F618" s="66"/>
      <c r="G618" s="66"/>
      <c r="H618" s="66"/>
      <c r="I618" s="66"/>
      <c r="J618" s="66"/>
      <c r="K618" s="66"/>
      <c r="L618" s="66"/>
      <c r="M618" s="66"/>
      <c r="N618" s="67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8"/>
      <c r="AS618" s="66"/>
      <c r="AT618" s="66"/>
      <c r="AU618" s="66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55">
        <v>1</v>
      </c>
      <c r="BG618" s="70"/>
      <c r="BH618" s="63">
        <f t="shared" si="27"/>
        <v>1</v>
      </c>
      <c r="BI618" s="63">
        <v>1</v>
      </c>
      <c r="BJ618" s="70"/>
      <c r="BK618" s="62">
        <f t="shared" si="28"/>
        <v>0</v>
      </c>
      <c r="BL618" s="63"/>
      <c r="BM618" s="71"/>
      <c r="BN618" s="71"/>
      <c r="BO618" s="71"/>
    </row>
    <row r="619" spans="2:67">
      <c r="B619" s="51" t="s">
        <v>842</v>
      </c>
      <c r="C619" s="73" t="s">
        <v>74</v>
      </c>
      <c r="D619" s="53" t="s">
        <v>842</v>
      </c>
      <c r="E619" s="54" t="s">
        <v>843</v>
      </c>
      <c r="F619" s="66">
        <v>1</v>
      </c>
      <c r="G619" s="66">
        <v>1</v>
      </c>
      <c r="H619" s="66">
        <v>1</v>
      </c>
      <c r="I619" s="66">
        <v>1</v>
      </c>
      <c r="J619" s="66">
        <v>1</v>
      </c>
      <c r="K619" s="66">
        <v>1</v>
      </c>
      <c r="L619" s="66">
        <v>1</v>
      </c>
      <c r="M619" s="66">
        <v>1</v>
      </c>
      <c r="N619" s="67">
        <v>1</v>
      </c>
      <c r="O619" s="66">
        <v>1</v>
      </c>
      <c r="P619" s="66"/>
      <c r="Q619" s="66"/>
      <c r="R619" s="66"/>
      <c r="S619" s="66">
        <v>2</v>
      </c>
      <c r="T619" s="66">
        <v>1</v>
      </c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  <c r="AO619" s="66"/>
      <c r="AP619" s="66">
        <v>1</v>
      </c>
      <c r="AQ619" s="66">
        <v>1</v>
      </c>
      <c r="AR619" s="68"/>
      <c r="AS619" s="66"/>
      <c r="AT619" s="66"/>
      <c r="AU619" s="66">
        <v>1</v>
      </c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55"/>
      <c r="BG619" s="70"/>
      <c r="BH619" s="63">
        <f t="shared" si="27"/>
        <v>16</v>
      </c>
      <c r="BI619" s="63">
        <v>16</v>
      </c>
      <c r="BJ619" s="70"/>
      <c r="BK619" s="62">
        <f t="shared" si="28"/>
        <v>0</v>
      </c>
      <c r="BL619" s="63"/>
      <c r="BM619" s="71"/>
      <c r="BN619" s="71"/>
      <c r="BO619" s="71"/>
    </row>
    <row r="620" spans="2:67">
      <c r="B620" s="51" t="s">
        <v>844</v>
      </c>
      <c r="C620" s="73" t="s">
        <v>74</v>
      </c>
      <c r="D620" s="53" t="s">
        <v>844</v>
      </c>
      <c r="E620" s="54" t="s">
        <v>845</v>
      </c>
      <c r="F620" s="66"/>
      <c r="G620" s="66"/>
      <c r="H620" s="66"/>
      <c r="I620" s="66"/>
      <c r="J620" s="66"/>
      <c r="K620" s="66"/>
      <c r="L620" s="66"/>
      <c r="M620" s="66"/>
      <c r="N620" s="67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8"/>
      <c r="AS620" s="66"/>
      <c r="AT620" s="66"/>
      <c r="AU620" s="66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55">
        <v>1</v>
      </c>
      <c r="BG620" s="70"/>
      <c r="BH620" s="63">
        <f t="shared" si="27"/>
        <v>1</v>
      </c>
      <c r="BI620" s="63">
        <v>1</v>
      </c>
      <c r="BJ620" s="70"/>
      <c r="BK620" s="62">
        <f t="shared" si="28"/>
        <v>0</v>
      </c>
      <c r="BL620" s="63"/>
      <c r="BM620" s="71"/>
      <c r="BN620" s="71"/>
      <c r="BO620" s="71"/>
    </row>
    <row r="621" spans="2:67">
      <c r="B621" s="51" t="s">
        <v>846</v>
      </c>
      <c r="C621" s="73" t="s">
        <v>74</v>
      </c>
      <c r="D621" s="53" t="s">
        <v>846</v>
      </c>
      <c r="E621" s="54" t="s">
        <v>847</v>
      </c>
      <c r="F621" s="66"/>
      <c r="G621" s="66"/>
      <c r="H621" s="66"/>
      <c r="I621" s="66"/>
      <c r="J621" s="66"/>
      <c r="K621" s="66"/>
      <c r="L621" s="66"/>
      <c r="M621" s="66"/>
      <c r="N621" s="67"/>
      <c r="O621" s="66"/>
      <c r="P621" s="66"/>
      <c r="Q621" s="66"/>
      <c r="R621" s="66"/>
      <c r="S621" s="66"/>
      <c r="T621" s="66"/>
      <c r="U621" s="66">
        <v>1</v>
      </c>
      <c r="V621" s="66"/>
      <c r="W621" s="66"/>
      <c r="X621" s="66"/>
      <c r="Y621" s="66"/>
      <c r="Z621" s="66"/>
      <c r="AA621" s="66"/>
      <c r="AB621" s="66">
        <v>1</v>
      </c>
      <c r="AC621" s="66"/>
      <c r="AD621" s="66">
        <v>1</v>
      </c>
      <c r="AE621" s="66"/>
      <c r="AF621" s="66"/>
      <c r="AG621" s="66"/>
      <c r="AH621" s="66">
        <v>1</v>
      </c>
      <c r="AI621" s="66">
        <v>1</v>
      </c>
      <c r="AJ621" s="66"/>
      <c r="AK621" s="66"/>
      <c r="AL621" s="66"/>
      <c r="AM621" s="66"/>
      <c r="AN621" s="66"/>
      <c r="AO621" s="66"/>
      <c r="AP621" s="66"/>
      <c r="AQ621" s="66">
        <v>1</v>
      </c>
      <c r="AR621" s="68"/>
      <c r="AS621" s="66"/>
      <c r="AT621" s="66"/>
      <c r="AU621" s="66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55"/>
      <c r="BG621" s="70"/>
      <c r="BH621" s="63">
        <f t="shared" si="27"/>
        <v>6</v>
      </c>
      <c r="BI621" s="63">
        <v>6</v>
      </c>
      <c r="BJ621" s="70"/>
      <c r="BK621" s="62">
        <f t="shared" si="28"/>
        <v>0</v>
      </c>
      <c r="BL621" s="63"/>
      <c r="BM621" s="71"/>
      <c r="BN621" s="71"/>
      <c r="BO621" s="71"/>
    </row>
    <row r="622" spans="2:67">
      <c r="B622" s="51" t="s">
        <v>848</v>
      </c>
      <c r="C622" s="52" t="s">
        <v>74</v>
      </c>
      <c r="D622" s="53" t="s">
        <v>848</v>
      </c>
      <c r="E622" s="54" t="s">
        <v>849</v>
      </c>
      <c r="F622" s="66"/>
      <c r="G622" s="66"/>
      <c r="H622" s="66"/>
      <c r="I622" s="66">
        <v>1</v>
      </c>
      <c r="J622" s="66"/>
      <c r="K622" s="66"/>
      <c r="L622" s="66"/>
      <c r="M622" s="66"/>
      <c r="N622" s="67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8"/>
      <c r="AS622" s="66"/>
      <c r="AT622" s="66"/>
      <c r="AU622" s="66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55"/>
      <c r="BG622" s="70"/>
      <c r="BH622" s="63">
        <f t="shared" si="27"/>
        <v>1</v>
      </c>
      <c r="BI622" s="63">
        <v>1</v>
      </c>
      <c r="BJ622" s="70"/>
      <c r="BK622" s="62">
        <f t="shared" si="28"/>
        <v>0</v>
      </c>
      <c r="BL622" s="63"/>
      <c r="BM622" s="71"/>
      <c r="BN622" s="71"/>
      <c r="BO622" s="71"/>
    </row>
    <row r="623" spans="2:67">
      <c r="B623" s="51" t="s">
        <v>850</v>
      </c>
      <c r="C623" s="73" t="s">
        <v>74</v>
      </c>
      <c r="D623" s="53" t="s">
        <v>850</v>
      </c>
      <c r="E623" s="54" t="s">
        <v>851</v>
      </c>
      <c r="F623" s="66"/>
      <c r="G623" s="66"/>
      <c r="H623" s="66"/>
      <c r="I623" s="66"/>
      <c r="J623" s="66"/>
      <c r="K623" s="66"/>
      <c r="L623" s="66"/>
      <c r="M623" s="66"/>
      <c r="N623" s="67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8"/>
      <c r="AS623" s="66"/>
      <c r="AT623" s="66"/>
      <c r="AU623" s="66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55">
        <v>10</v>
      </c>
      <c r="BG623" s="70"/>
      <c r="BH623" s="63">
        <f t="shared" si="27"/>
        <v>10</v>
      </c>
      <c r="BI623" s="63">
        <v>10</v>
      </c>
      <c r="BJ623" s="70"/>
      <c r="BK623" s="62">
        <f t="shared" si="28"/>
        <v>0</v>
      </c>
      <c r="BL623" s="63"/>
      <c r="BM623" s="71"/>
      <c r="BN623" s="71"/>
      <c r="BO623" s="71"/>
    </row>
    <row r="624" spans="2:67">
      <c r="B624" s="51" t="s">
        <v>852</v>
      </c>
      <c r="C624" s="73" t="s">
        <v>74</v>
      </c>
      <c r="D624" s="53" t="s">
        <v>852</v>
      </c>
      <c r="E624" s="54" t="s">
        <v>853</v>
      </c>
      <c r="F624" s="66"/>
      <c r="G624" s="66"/>
      <c r="H624" s="66"/>
      <c r="I624" s="66"/>
      <c r="J624" s="66"/>
      <c r="K624" s="66"/>
      <c r="L624" s="66"/>
      <c r="M624" s="66"/>
      <c r="N624" s="67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8"/>
      <c r="AS624" s="66"/>
      <c r="AT624" s="66"/>
      <c r="AU624" s="66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55">
        <v>6</v>
      </c>
      <c r="BG624" s="70"/>
      <c r="BH624" s="63">
        <f t="shared" si="27"/>
        <v>6</v>
      </c>
      <c r="BI624" s="63">
        <v>6</v>
      </c>
      <c r="BJ624" s="70"/>
      <c r="BK624" s="62">
        <f t="shared" si="28"/>
        <v>0</v>
      </c>
      <c r="BL624" s="63"/>
      <c r="BM624" s="71"/>
      <c r="BN624" s="71"/>
      <c r="BO624" s="71"/>
    </row>
    <row r="625" spans="2:67">
      <c r="B625" s="51" t="s">
        <v>854</v>
      </c>
      <c r="C625" s="73" t="s">
        <v>74</v>
      </c>
      <c r="D625" s="53" t="s">
        <v>854</v>
      </c>
      <c r="E625" s="54" t="s">
        <v>855</v>
      </c>
      <c r="F625" s="66"/>
      <c r="G625" s="66"/>
      <c r="H625" s="66"/>
      <c r="I625" s="66"/>
      <c r="J625" s="66"/>
      <c r="K625" s="66"/>
      <c r="L625" s="66"/>
      <c r="M625" s="66"/>
      <c r="N625" s="67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8"/>
      <c r="AS625" s="66"/>
      <c r="AT625" s="66"/>
      <c r="AU625" s="66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55">
        <v>3</v>
      </c>
      <c r="BG625" s="70"/>
      <c r="BH625" s="63">
        <f t="shared" si="27"/>
        <v>3</v>
      </c>
      <c r="BI625" s="63">
        <v>3</v>
      </c>
      <c r="BJ625" s="70"/>
      <c r="BK625" s="62">
        <f t="shared" si="28"/>
        <v>0</v>
      </c>
      <c r="BL625" s="63"/>
      <c r="BM625" s="71"/>
      <c r="BN625" s="71"/>
      <c r="BO625" s="71"/>
    </row>
    <row r="626" spans="2:67">
      <c r="B626" s="51" t="s">
        <v>856</v>
      </c>
      <c r="C626" s="73" t="s">
        <v>74</v>
      </c>
      <c r="D626" s="53" t="s">
        <v>856</v>
      </c>
      <c r="E626" s="54" t="s">
        <v>857</v>
      </c>
      <c r="F626" s="66"/>
      <c r="G626" s="66"/>
      <c r="H626" s="66"/>
      <c r="I626" s="66"/>
      <c r="J626" s="66"/>
      <c r="K626" s="66"/>
      <c r="L626" s="66"/>
      <c r="M626" s="66"/>
      <c r="N626" s="67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8"/>
      <c r="AS626" s="66"/>
      <c r="AT626" s="66"/>
      <c r="AU626" s="66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55">
        <v>3</v>
      </c>
      <c r="BG626" s="70"/>
      <c r="BH626" s="63">
        <f t="shared" si="27"/>
        <v>3</v>
      </c>
      <c r="BI626" s="63">
        <v>3</v>
      </c>
      <c r="BJ626" s="70"/>
      <c r="BK626" s="62">
        <f t="shared" si="28"/>
        <v>0</v>
      </c>
      <c r="BL626" s="63"/>
      <c r="BM626" s="71"/>
      <c r="BN626" s="71"/>
      <c r="BO626" s="71"/>
    </row>
    <row r="627" spans="2:67" ht="18" customHeight="1">
      <c r="B627" s="51" t="s">
        <v>858</v>
      </c>
      <c r="C627" s="73" t="s">
        <v>74</v>
      </c>
      <c r="D627" s="53" t="s">
        <v>858</v>
      </c>
      <c r="E627" s="54" t="s">
        <v>859</v>
      </c>
      <c r="F627" s="66"/>
      <c r="G627" s="66"/>
      <c r="H627" s="66"/>
      <c r="I627" s="66"/>
      <c r="J627" s="66"/>
      <c r="K627" s="66"/>
      <c r="L627" s="66"/>
      <c r="M627" s="66"/>
      <c r="N627" s="67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8"/>
      <c r="AS627" s="66"/>
      <c r="AT627" s="66"/>
      <c r="AU627" s="66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55">
        <v>1</v>
      </c>
      <c r="BG627" s="70"/>
      <c r="BH627" s="63">
        <f t="shared" si="27"/>
        <v>1</v>
      </c>
      <c r="BI627" s="63">
        <v>1</v>
      </c>
      <c r="BJ627" s="70"/>
      <c r="BK627" s="62">
        <f t="shared" si="28"/>
        <v>0</v>
      </c>
      <c r="BL627" s="63"/>
      <c r="BM627" s="71"/>
      <c r="BN627" s="71"/>
      <c r="BO627" s="71"/>
    </row>
    <row r="628" spans="2:67" ht="18.95" customHeight="1">
      <c r="B628" s="51" t="s">
        <v>860</v>
      </c>
      <c r="C628" s="73" t="s">
        <v>74</v>
      </c>
      <c r="D628" s="53" t="s">
        <v>860</v>
      </c>
      <c r="E628" s="54" t="s">
        <v>861</v>
      </c>
      <c r="F628" s="66"/>
      <c r="G628" s="66"/>
      <c r="H628" s="66"/>
      <c r="I628" s="66"/>
      <c r="J628" s="66"/>
      <c r="K628" s="66"/>
      <c r="L628" s="66"/>
      <c r="M628" s="66"/>
      <c r="N628" s="67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8"/>
      <c r="AS628" s="66"/>
      <c r="AT628" s="66"/>
      <c r="AU628" s="66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55">
        <v>3</v>
      </c>
      <c r="BG628" s="70"/>
      <c r="BH628" s="63">
        <f t="shared" si="27"/>
        <v>3</v>
      </c>
      <c r="BI628" s="63">
        <v>3</v>
      </c>
      <c r="BJ628" s="70"/>
      <c r="BK628" s="62">
        <f t="shared" si="28"/>
        <v>0</v>
      </c>
      <c r="BL628" s="63"/>
      <c r="BM628" s="71"/>
      <c r="BN628" s="71"/>
      <c r="BO628" s="71"/>
    </row>
    <row r="629" spans="2:67" ht="18.75" customHeight="1">
      <c r="B629" s="51" t="s">
        <v>862</v>
      </c>
      <c r="C629" s="73" t="s">
        <v>74</v>
      </c>
      <c r="D629" s="53" t="s">
        <v>862</v>
      </c>
      <c r="E629" s="54" t="s">
        <v>863</v>
      </c>
      <c r="F629" s="66"/>
      <c r="G629" s="66"/>
      <c r="H629" s="66"/>
      <c r="I629" s="66"/>
      <c r="J629" s="66"/>
      <c r="K629" s="66"/>
      <c r="L629" s="66"/>
      <c r="M629" s="66"/>
      <c r="N629" s="67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8"/>
      <c r="AS629" s="66"/>
      <c r="AT629" s="66"/>
      <c r="AU629" s="66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55">
        <v>4</v>
      </c>
      <c r="BG629" s="70"/>
      <c r="BH629" s="63">
        <f t="shared" si="27"/>
        <v>4</v>
      </c>
      <c r="BI629" s="63">
        <v>4</v>
      </c>
      <c r="BJ629" s="70"/>
      <c r="BK629" s="62">
        <f t="shared" si="28"/>
        <v>0</v>
      </c>
      <c r="BL629" s="63"/>
      <c r="BM629" s="71"/>
      <c r="BN629" s="71"/>
      <c r="BO629" s="71"/>
    </row>
    <row r="630" spans="2:67" ht="18.95" customHeight="1">
      <c r="B630" s="51" t="s">
        <v>864</v>
      </c>
      <c r="C630" s="73" t="s">
        <v>74</v>
      </c>
      <c r="D630" s="53" t="s">
        <v>864</v>
      </c>
      <c r="E630" s="54" t="s">
        <v>865</v>
      </c>
      <c r="F630" s="66"/>
      <c r="G630" s="66"/>
      <c r="H630" s="66"/>
      <c r="I630" s="66"/>
      <c r="J630" s="66"/>
      <c r="K630" s="66"/>
      <c r="L630" s="66"/>
      <c r="M630" s="66"/>
      <c r="N630" s="67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75"/>
      <c r="AM630" s="66"/>
      <c r="AN630" s="66"/>
      <c r="AO630" s="66"/>
      <c r="AP630" s="66"/>
      <c r="AQ630" s="66"/>
      <c r="AR630" s="68"/>
      <c r="AS630" s="66"/>
      <c r="AT630" s="66"/>
      <c r="AU630" s="66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55">
        <v>1</v>
      </c>
      <c r="BG630" s="70"/>
      <c r="BH630" s="63">
        <f t="shared" si="27"/>
        <v>1</v>
      </c>
      <c r="BI630" s="63">
        <v>1</v>
      </c>
      <c r="BJ630" s="70"/>
      <c r="BK630" s="62">
        <f t="shared" si="28"/>
        <v>0</v>
      </c>
      <c r="BL630" s="63"/>
      <c r="BM630" s="71"/>
      <c r="BN630" s="71"/>
      <c r="BO630" s="71"/>
    </row>
    <row r="631" spans="2:67" ht="18.75" customHeight="1">
      <c r="B631" s="51" t="s">
        <v>866</v>
      </c>
      <c r="C631" s="73" t="s">
        <v>74</v>
      </c>
      <c r="D631" s="53" t="s">
        <v>866</v>
      </c>
      <c r="E631" s="54" t="s">
        <v>867</v>
      </c>
      <c r="F631" s="66"/>
      <c r="G631" s="66"/>
      <c r="H631" s="66"/>
      <c r="I631" s="66"/>
      <c r="J631" s="66"/>
      <c r="K631" s="66"/>
      <c r="L631" s="66"/>
      <c r="M631" s="66"/>
      <c r="N631" s="67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75"/>
      <c r="AM631" s="66"/>
      <c r="AN631" s="66"/>
      <c r="AO631" s="66"/>
      <c r="AP631" s="66"/>
      <c r="AQ631" s="66"/>
      <c r="AR631" s="68"/>
      <c r="AS631" s="66"/>
      <c r="AT631" s="66"/>
      <c r="AU631" s="66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55">
        <v>1</v>
      </c>
      <c r="BG631" s="70"/>
      <c r="BH631" s="63">
        <f t="shared" si="27"/>
        <v>1</v>
      </c>
      <c r="BI631" s="63">
        <v>1</v>
      </c>
      <c r="BJ631" s="70"/>
      <c r="BK631" s="62">
        <f t="shared" si="28"/>
        <v>0</v>
      </c>
      <c r="BL631" s="63"/>
      <c r="BM631" s="71"/>
      <c r="BN631" s="71"/>
      <c r="BO631" s="71"/>
    </row>
    <row r="632" spans="2:67" ht="18.95" customHeight="1">
      <c r="B632" s="51" t="s">
        <v>868</v>
      </c>
      <c r="C632" s="73" t="s">
        <v>74</v>
      </c>
      <c r="D632" s="53" t="s">
        <v>868</v>
      </c>
      <c r="E632" s="54" t="s">
        <v>869</v>
      </c>
      <c r="F632" s="66"/>
      <c r="G632" s="66"/>
      <c r="H632" s="66"/>
      <c r="I632" s="66">
        <v>10</v>
      </c>
      <c r="J632" s="66"/>
      <c r="K632" s="66"/>
      <c r="L632" s="66"/>
      <c r="M632" s="66"/>
      <c r="N632" s="67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8"/>
      <c r="AS632" s="66"/>
      <c r="AT632" s="66"/>
      <c r="AU632" s="66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55"/>
      <c r="BG632" s="70"/>
      <c r="BH632" s="63">
        <f t="shared" si="27"/>
        <v>10</v>
      </c>
      <c r="BI632" s="63">
        <v>10</v>
      </c>
      <c r="BJ632" s="70"/>
      <c r="BK632" s="62">
        <f t="shared" si="28"/>
        <v>0</v>
      </c>
      <c r="BL632" s="63"/>
      <c r="BM632" s="71"/>
      <c r="BN632" s="65"/>
      <c r="BO632" s="65"/>
    </row>
    <row r="633" spans="2:67" ht="18.95" customHeight="1">
      <c r="B633" s="51" t="s">
        <v>870</v>
      </c>
      <c r="C633" s="73" t="s">
        <v>74</v>
      </c>
      <c r="D633" s="53" t="s">
        <v>870</v>
      </c>
      <c r="E633" s="54" t="s">
        <v>871</v>
      </c>
      <c r="F633" s="55"/>
      <c r="G633" s="66"/>
      <c r="H633" s="66"/>
      <c r="I633" s="66"/>
      <c r="J633" s="66"/>
      <c r="K633" s="66"/>
      <c r="L633" s="66"/>
      <c r="M633" s="66"/>
      <c r="N633" s="67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>
        <v>1</v>
      </c>
      <c r="AB633" s="66"/>
      <c r="AC633" s="66">
        <v>1</v>
      </c>
      <c r="AD633" s="66"/>
      <c r="AE633" s="66"/>
      <c r="AF633" s="66"/>
      <c r="AG633" s="66"/>
      <c r="AH633" s="66"/>
      <c r="AI633" s="66"/>
      <c r="AJ633" s="66"/>
      <c r="AK633" s="66"/>
      <c r="AL633" s="75"/>
      <c r="AM633" s="66"/>
      <c r="AN633" s="66"/>
      <c r="AO633" s="66"/>
      <c r="AP633" s="66"/>
      <c r="AQ633" s="66"/>
      <c r="AR633" s="68"/>
      <c r="AS633" s="66">
        <v>1</v>
      </c>
      <c r="AT633" s="66"/>
      <c r="AU633" s="66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55"/>
      <c r="BG633" s="70"/>
      <c r="BH633" s="63">
        <f t="shared" si="27"/>
        <v>3</v>
      </c>
      <c r="BI633" s="63">
        <v>3</v>
      </c>
      <c r="BJ633" s="70"/>
      <c r="BK633" s="62">
        <f t="shared" si="28"/>
        <v>0</v>
      </c>
      <c r="BL633" s="63"/>
      <c r="BM633" s="71"/>
      <c r="BN633" s="65"/>
      <c r="BO633" s="65"/>
    </row>
    <row r="634" spans="2:67" ht="18.95" customHeight="1">
      <c r="B634" s="51" t="s">
        <v>872</v>
      </c>
      <c r="C634" s="73" t="s">
        <v>74</v>
      </c>
      <c r="D634" s="53" t="s">
        <v>872</v>
      </c>
      <c r="E634" s="54" t="s">
        <v>873</v>
      </c>
      <c r="F634" s="66"/>
      <c r="G634" s="66"/>
      <c r="H634" s="66"/>
      <c r="I634" s="66"/>
      <c r="J634" s="66"/>
      <c r="K634" s="66"/>
      <c r="L634" s="66"/>
      <c r="M634" s="66"/>
      <c r="N634" s="67"/>
      <c r="O634" s="66"/>
      <c r="P634" s="66"/>
      <c r="Q634" s="66"/>
      <c r="R634" s="66"/>
      <c r="S634" s="66"/>
      <c r="T634" s="66"/>
      <c r="U634" s="66">
        <v>1</v>
      </c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  <c r="AO634" s="66"/>
      <c r="AP634" s="66"/>
      <c r="AQ634" s="66"/>
      <c r="AR634" s="68"/>
      <c r="AS634" s="66"/>
      <c r="AT634" s="66"/>
      <c r="AU634" s="66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55"/>
      <c r="BG634" s="70"/>
      <c r="BH634" s="63">
        <f t="shared" si="27"/>
        <v>1</v>
      </c>
      <c r="BI634" s="63">
        <v>1</v>
      </c>
      <c r="BJ634" s="70"/>
      <c r="BK634" s="62">
        <f t="shared" si="28"/>
        <v>0</v>
      </c>
      <c r="BL634" s="63"/>
      <c r="BM634" s="71"/>
      <c r="BN634" s="71"/>
      <c r="BO634" s="71"/>
    </row>
    <row r="635" spans="2:67" ht="18.95" customHeight="1">
      <c r="B635" s="51" t="s">
        <v>874</v>
      </c>
      <c r="C635" s="73" t="s">
        <v>74</v>
      </c>
      <c r="D635" s="53" t="s">
        <v>874</v>
      </c>
      <c r="E635" s="54" t="s">
        <v>875</v>
      </c>
      <c r="F635" s="55"/>
      <c r="G635" s="55"/>
      <c r="H635" s="55"/>
      <c r="I635" s="55"/>
      <c r="J635" s="55"/>
      <c r="K635" s="55"/>
      <c r="L635" s="55"/>
      <c r="M635" s="55"/>
      <c r="N635" s="56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76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>
        <v>1</v>
      </c>
      <c r="BG635" s="70"/>
      <c r="BH635" s="63">
        <f t="shared" si="27"/>
        <v>1</v>
      </c>
      <c r="BI635" s="63">
        <v>1</v>
      </c>
      <c r="BJ635" s="70"/>
      <c r="BK635" s="62">
        <f t="shared" si="28"/>
        <v>0</v>
      </c>
      <c r="BL635" s="63"/>
      <c r="BM635" s="71"/>
      <c r="BN635" s="65"/>
      <c r="BO635" s="65"/>
    </row>
    <row r="636" spans="2:67" ht="18.95" customHeight="1">
      <c r="B636" s="87"/>
      <c r="C636" s="87"/>
      <c r="D636" s="87"/>
      <c r="E636" s="87"/>
    </row>
    <row r="637" spans="2:67" ht="18.95" customHeight="1">
      <c r="B637" s="87"/>
      <c r="C637" s="87"/>
      <c r="D637" s="87"/>
      <c r="E637" s="87"/>
    </row>
    <row r="638" spans="2:67" ht="18.95" customHeight="1">
      <c r="B638" s="87"/>
      <c r="C638" s="87"/>
      <c r="D638" s="87"/>
      <c r="E638" s="87"/>
    </row>
    <row r="639" spans="2:67" ht="18.95" customHeight="1">
      <c r="B639" s="87"/>
      <c r="C639" s="87"/>
      <c r="D639" s="87"/>
      <c r="E639" s="87"/>
    </row>
    <row r="640" spans="2:67" ht="18.95" customHeight="1">
      <c r="B640" s="87"/>
      <c r="C640" s="87"/>
      <c r="D640" s="87"/>
      <c r="E640" s="87"/>
    </row>
    <row r="641" spans="2:5" ht="18.95" customHeight="1">
      <c r="B641" s="87"/>
      <c r="C641" s="87"/>
      <c r="D641" s="87"/>
      <c r="E641" s="87"/>
    </row>
    <row r="642" spans="2:5" ht="18.95" customHeight="1">
      <c r="B642" s="87"/>
      <c r="C642" s="87"/>
      <c r="D642" s="87"/>
      <c r="E642" s="87"/>
    </row>
    <row r="643" spans="2:5" ht="18.95" customHeight="1">
      <c r="B643" s="87"/>
      <c r="C643" s="87"/>
      <c r="D643" s="87"/>
      <c r="E643" s="87"/>
    </row>
    <row r="644" spans="2:5" ht="18.95" customHeight="1">
      <c r="B644" s="87"/>
      <c r="C644" s="87"/>
      <c r="D644" s="87"/>
      <c r="E644" s="87"/>
    </row>
    <row r="645" spans="2:5" ht="18.95" customHeight="1">
      <c r="B645" s="87"/>
      <c r="C645" s="87"/>
      <c r="D645" s="87"/>
      <c r="E645" s="87"/>
    </row>
    <row r="646" spans="2:5" ht="18.95" customHeight="1">
      <c r="B646" s="87"/>
      <c r="C646" s="87"/>
      <c r="D646" s="87"/>
      <c r="E646" s="87"/>
    </row>
    <row r="647" spans="2:5" ht="18.95" customHeight="1">
      <c r="B647" s="87"/>
      <c r="C647" s="87"/>
      <c r="D647" s="87"/>
      <c r="E647" s="87"/>
    </row>
    <row r="648" spans="2:5" ht="18.95" customHeight="1">
      <c r="B648" s="87"/>
      <c r="C648" s="87"/>
      <c r="D648" s="87"/>
      <c r="E648" s="87"/>
    </row>
    <row r="649" spans="2:5" ht="18.95" customHeight="1">
      <c r="B649" s="87"/>
      <c r="C649" s="87"/>
      <c r="D649" s="87"/>
      <c r="E649" s="87"/>
    </row>
    <row r="650" spans="2:5" ht="18.95" customHeight="1">
      <c r="B650" s="87"/>
      <c r="C650" s="87"/>
      <c r="D650" s="87"/>
      <c r="E650" s="87"/>
    </row>
    <row r="651" spans="2:5" ht="18.95" customHeight="1">
      <c r="B651" s="87"/>
      <c r="C651" s="87"/>
      <c r="D651" s="87"/>
      <c r="E651" s="87"/>
    </row>
    <row r="652" spans="2:5" ht="18.95" customHeight="1">
      <c r="B652" s="87"/>
      <c r="C652" s="87"/>
      <c r="D652" s="87"/>
      <c r="E652" s="87"/>
    </row>
    <row r="653" spans="2:5" ht="18.95" customHeight="1">
      <c r="B653" s="87"/>
      <c r="C653" s="87"/>
      <c r="D653" s="87"/>
      <c r="E653" s="87"/>
    </row>
    <row r="654" spans="2:5" ht="18.95" customHeight="1">
      <c r="B654" s="87"/>
      <c r="C654" s="87"/>
      <c r="D654" s="87"/>
      <c r="E654" s="87"/>
    </row>
    <row r="655" spans="2:5" ht="18.95" customHeight="1">
      <c r="B655" s="87"/>
      <c r="C655" s="87"/>
      <c r="D655" s="87"/>
      <c r="E655" s="87"/>
    </row>
    <row r="656" spans="2:5" ht="18.95" customHeight="1">
      <c r="B656" s="87"/>
      <c r="C656" s="87"/>
      <c r="D656" s="87"/>
      <c r="E656" s="87"/>
    </row>
    <row r="657" spans="2:67" ht="18.95" customHeight="1">
      <c r="B657" s="2" t="s">
        <v>1</v>
      </c>
      <c r="C657" s="2"/>
      <c r="D657" s="2"/>
      <c r="E657" s="2"/>
      <c r="F657" s="3"/>
      <c r="G657" s="4"/>
      <c r="H657" s="4"/>
      <c r="I657" s="4"/>
      <c r="J657" s="4"/>
      <c r="K657" s="4"/>
      <c r="L657" s="4"/>
      <c r="M657" s="4"/>
      <c r="N657" s="107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5"/>
      <c r="AF657" s="5"/>
      <c r="AG657" s="5"/>
      <c r="AH657" s="5"/>
      <c r="AI657" s="5"/>
      <c r="AJ657" s="5"/>
      <c r="AK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7"/>
      <c r="BI657" s="7"/>
      <c r="BJ657" s="5"/>
      <c r="BK657" s="5"/>
      <c r="BM657" s="5"/>
      <c r="BN657" s="5"/>
      <c r="BO657" s="5"/>
    </row>
    <row r="658" spans="2:67" ht="18.95" customHeight="1">
      <c r="B658" s="2"/>
      <c r="C658" s="2"/>
      <c r="D658" s="2"/>
      <c r="E658" s="2"/>
      <c r="F658" s="139" t="s">
        <v>0</v>
      </c>
      <c r="G658" s="139"/>
      <c r="H658" s="139"/>
      <c r="I658" s="139"/>
      <c r="J658" s="139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40"/>
      <c r="Z658" s="140"/>
      <c r="AA658" s="140"/>
      <c r="AB658" s="140"/>
      <c r="AC658" s="140"/>
      <c r="AD658" s="140"/>
      <c r="AE658" s="141"/>
      <c r="AF658" s="8"/>
      <c r="AG658" s="8"/>
      <c r="AH658" s="8"/>
      <c r="AI658" s="8"/>
      <c r="AJ658" s="8"/>
      <c r="AK658" s="8"/>
      <c r="AL658" s="142"/>
      <c r="AM658" s="8"/>
      <c r="AN658" s="8"/>
      <c r="AO658" s="8"/>
      <c r="AP658" s="8"/>
      <c r="AQ658" s="8"/>
      <c r="AR658" s="143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9" t="s">
        <v>876</v>
      </c>
      <c r="BG658" s="10"/>
      <c r="BH658" s="10"/>
      <c r="BI658" s="10"/>
      <c r="BJ658" s="10"/>
      <c r="BK658" s="10"/>
      <c r="BL658" s="10"/>
      <c r="BM658" s="10"/>
      <c r="BN658" s="10"/>
      <c r="BO658" s="11"/>
    </row>
    <row r="659" spans="2:67" ht="18.95" customHeight="1">
      <c r="B659" s="12"/>
      <c r="C659" s="12"/>
      <c r="D659" s="12"/>
      <c r="E659" s="12"/>
      <c r="F659" s="13"/>
      <c r="G659" s="14" t="s">
        <v>3</v>
      </c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6"/>
      <c r="AM659" s="15"/>
      <c r="AN659" s="15"/>
      <c r="AO659" s="15"/>
      <c r="AP659" s="15"/>
      <c r="AQ659" s="15"/>
      <c r="AR659" s="17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8"/>
      <c r="BM659" s="15"/>
      <c r="BN659" s="15"/>
      <c r="BO659" s="15"/>
    </row>
    <row r="660" spans="2:67" ht="19.5" customHeight="1">
      <c r="B660" s="19" t="s">
        <v>4</v>
      </c>
      <c r="C660" s="157" t="s">
        <v>5</v>
      </c>
      <c r="D660" s="157"/>
      <c r="E660" s="21" t="s">
        <v>6</v>
      </c>
      <c r="F660" s="22" t="s">
        <v>135</v>
      </c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4" t="s">
        <v>8</v>
      </c>
      <c r="BG660" s="25"/>
      <c r="BH660" s="25"/>
      <c r="BI660" s="26"/>
      <c r="BJ660" s="31" t="s">
        <v>9</v>
      </c>
      <c r="BK660" s="32"/>
      <c r="BL660" s="29"/>
      <c r="BM660" s="30"/>
      <c r="BN660" s="31" t="s">
        <v>10</v>
      </c>
      <c r="BO660" s="32"/>
    </row>
    <row r="661" spans="2:67" ht="120" customHeight="1">
      <c r="B661" s="33"/>
      <c r="C661" s="34" t="s">
        <v>11</v>
      </c>
      <c r="D661" s="35" t="s">
        <v>4</v>
      </c>
      <c r="E661" s="35" t="s">
        <v>12</v>
      </c>
      <c r="F661" s="36" t="s">
        <v>13</v>
      </c>
      <c r="G661" s="36" t="s">
        <v>14</v>
      </c>
      <c r="H661" s="36" t="s">
        <v>15</v>
      </c>
      <c r="I661" s="36" t="s">
        <v>16</v>
      </c>
      <c r="J661" s="36" t="s">
        <v>17</v>
      </c>
      <c r="K661" s="36" t="s">
        <v>18</v>
      </c>
      <c r="L661" s="36" t="s">
        <v>19</v>
      </c>
      <c r="M661" s="36" t="s">
        <v>20</v>
      </c>
      <c r="N661" s="37" t="s">
        <v>21</v>
      </c>
      <c r="O661" s="36" t="s">
        <v>22</v>
      </c>
      <c r="P661" s="36" t="s">
        <v>23</v>
      </c>
      <c r="Q661" s="36" t="s">
        <v>24</v>
      </c>
      <c r="R661" s="36" t="s">
        <v>25</v>
      </c>
      <c r="S661" s="36" t="s">
        <v>26</v>
      </c>
      <c r="T661" s="36" t="s">
        <v>27</v>
      </c>
      <c r="U661" s="36" t="s">
        <v>28</v>
      </c>
      <c r="V661" s="36" t="s">
        <v>29</v>
      </c>
      <c r="W661" s="36" t="s">
        <v>30</v>
      </c>
      <c r="X661" s="38" t="s">
        <v>31</v>
      </c>
      <c r="Y661" s="36" t="s">
        <v>32</v>
      </c>
      <c r="Z661" s="36" t="s">
        <v>33</v>
      </c>
      <c r="AA661" s="36" t="s">
        <v>34</v>
      </c>
      <c r="AB661" s="38" t="s">
        <v>35</v>
      </c>
      <c r="AC661" s="36" t="s">
        <v>36</v>
      </c>
      <c r="AD661" s="39" t="s">
        <v>37</v>
      </c>
      <c r="AE661" s="36" t="s">
        <v>38</v>
      </c>
      <c r="AF661" s="40" t="s">
        <v>39</v>
      </c>
      <c r="AG661" s="40" t="s">
        <v>40</v>
      </c>
      <c r="AH661" s="40" t="s">
        <v>41</v>
      </c>
      <c r="AI661" s="40" t="s">
        <v>42</v>
      </c>
      <c r="AJ661" s="40" t="s">
        <v>43</v>
      </c>
      <c r="AK661" s="40" t="s">
        <v>44</v>
      </c>
      <c r="AL661" s="41" t="s">
        <v>45</v>
      </c>
      <c r="AM661" s="42" t="s">
        <v>46</v>
      </c>
      <c r="AN661" s="43" t="s">
        <v>47</v>
      </c>
      <c r="AO661" s="40" t="s">
        <v>48</v>
      </c>
      <c r="AP661" s="40" t="s">
        <v>49</v>
      </c>
      <c r="AQ661" s="40" t="s">
        <v>50</v>
      </c>
      <c r="AR661" s="44" t="s">
        <v>136</v>
      </c>
      <c r="AS661" s="36" t="s">
        <v>52</v>
      </c>
      <c r="AT661" s="36" t="s">
        <v>53</v>
      </c>
      <c r="AU661" s="36" t="s">
        <v>54</v>
      </c>
      <c r="AV661" s="36" t="s">
        <v>55</v>
      </c>
      <c r="AW661" s="36" t="s">
        <v>56</v>
      </c>
      <c r="AX661" s="36" t="s">
        <v>203</v>
      </c>
      <c r="AY661" s="36" t="s">
        <v>58</v>
      </c>
      <c r="AZ661" s="38" t="s">
        <v>59</v>
      </c>
      <c r="BA661" s="36" t="s">
        <v>60</v>
      </c>
      <c r="BB661" s="36" t="s">
        <v>61</v>
      </c>
      <c r="BC661" s="39" t="s">
        <v>62</v>
      </c>
      <c r="BD661" s="36" t="s">
        <v>63</v>
      </c>
      <c r="BE661" s="36" t="s">
        <v>64</v>
      </c>
      <c r="BF661" s="45" t="s">
        <v>65</v>
      </c>
      <c r="BG661" s="45" t="s">
        <v>66</v>
      </c>
      <c r="BH661" s="45" t="s">
        <v>67</v>
      </c>
      <c r="BI661" s="45" t="s">
        <v>68</v>
      </c>
      <c r="BJ661" s="46" t="s">
        <v>69</v>
      </c>
      <c r="BK661" s="46" t="s">
        <v>70</v>
      </c>
      <c r="BL661" s="47" t="s">
        <v>71</v>
      </c>
      <c r="BM661" s="48" t="s">
        <v>72</v>
      </c>
      <c r="BN661" s="49" t="s">
        <v>69</v>
      </c>
      <c r="BO661" s="50" t="s">
        <v>70</v>
      </c>
    </row>
    <row r="662" spans="2:67" ht="18.75" customHeight="1">
      <c r="B662" s="51" t="s">
        <v>877</v>
      </c>
      <c r="C662" s="52" t="s">
        <v>74</v>
      </c>
      <c r="D662" s="53" t="s">
        <v>877</v>
      </c>
      <c r="E662" s="54" t="s">
        <v>878</v>
      </c>
      <c r="F662" s="55"/>
      <c r="G662" s="55"/>
      <c r="H662" s="55"/>
      <c r="I662" s="55"/>
      <c r="J662" s="55"/>
      <c r="K662" s="55"/>
      <c r="L662" s="55"/>
      <c r="M662" s="55"/>
      <c r="N662" s="56"/>
      <c r="O662" s="55"/>
      <c r="P662" s="55"/>
      <c r="Q662" s="57"/>
      <c r="R662" s="55"/>
      <c r="S662" s="58"/>
      <c r="T662" s="58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7"/>
      <c r="AF662" s="57"/>
      <c r="AG662" s="57"/>
      <c r="AH662" s="57"/>
      <c r="AI662" s="57"/>
      <c r="AJ662" s="57"/>
      <c r="AK662" s="57"/>
      <c r="AL662" s="59"/>
      <c r="AM662" s="57"/>
      <c r="AN662" s="57"/>
      <c r="AO662" s="55"/>
      <c r="AP662" s="55"/>
      <c r="AQ662" s="57"/>
      <c r="AR662" s="60"/>
      <c r="AS662" s="57"/>
      <c r="AT662" s="57"/>
      <c r="AU662" s="57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57">
        <v>10</v>
      </c>
      <c r="BG662" s="62"/>
      <c r="BH662" s="63">
        <v>10</v>
      </c>
      <c r="BI662" s="64">
        <v>10</v>
      </c>
      <c r="BJ662" s="62"/>
      <c r="BK662" s="62">
        <f>BH662-BI662</f>
        <v>0</v>
      </c>
      <c r="BL662" s="64"/>
      <c r="BM662" s="65"/>
      <c r="BN662" s="65"/>
      <c r="BO662" s="65"/>
    </row>
    <row r="663" spans="2:67" ht="18.95" customHeight="1">
      <c r="B663" s="51" t="s">
        <v>879</v>
      </c>
      <c r="C663" s="52" t="s">
        <v>74</v>
      </c>
      <c r="D663" s="53" t="s">
        <v>879</v>
      </c>
      <c r="E663" s="54" t="s">
        <v>880</v>
      </c>
      <c r="F663" s="66"/>
      <c r="G663" s="66"/>
      <c r="H663" s="66"/>
      <c r="I663" s="66">
        <v>1</v>
      </c>
      <c r="J663" s="66"/>
      <c r="K663" s="66"/>
      <c r="L663" s="66"/>
      <c r="M663" s="66"/>
      <c r="N663" s="67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8"/>
      <c r="AS663" s="66"/>
      <c r="AT663" s="66"/>
      <c r="AU663" s="66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55"/>
      <c r="BG663" s="70"/>
      <c r="BH663" s="63">
        <f t="shared" ref="BH663:BH680" si="29">SUM(F663:BG663)</f>
        <v>1</v>
      </c>
      <c r="BI663" s="63">
        <v>1</v>
      </c>
      <c r="BJ663" s="70"/>
      <c r="BK663" s="62">
        <f t="shared" ref="BK663:BK701" si="30">BH663-BI663</f>
        <v>0</v>
      </c>
      <c r="BL663" s="63"/>
      <c r="BM663" s="71"/>
      <c r="BN663" s="71"/>
      <c r="BO663" s="72"/>
    </row>
    <row r="664" spans="2:67" ht="18.75" customHeight="1">
      <c r="B664" s="51" t="s">
        <v>881</v>
      </c>
      <c r="C664" s="73" t="s">
        <v>74</v>
      </c>
      <c r="D664" s="53" t="s">
        <v>881</v>
      </c>
      <c r="E664" s="156" t="s">
        <v>882</v>
      </c>
      <c r="F664" s="66"/>
      <c r="G664" s="66"/>
      <c r="H664" s="66"/>
      <c r="I664" s="66"/>
      <c r="J664" s="66"/>
      <c r="K664" s="66"/>
      <c r="L664" s="66"/>
      <c r="M664" s="66"/>
      <c r="N664" s="67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  <c r="AO664" s="66"/>
      <c r="AP664" s="66"/>
      <c r="AQ664" s="66">
        <v>1</v>
      </c>
      <c r="AR664" s="68"/>
      <c r="AS664" s="66"/>
      <c r="AT664" s="66"/>
      <c r="AU664" s="66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55"/>
      <c r="BG664" s="70"/>
      <c r="BH664" s="63">
        <f t="shared" si="29"/>
        <v>1</v>
      </c>
      <c r="BI664" s="63">
        <v>1</v>
      </c>
      <c r="BJ664" s="70"/>
      <c r="BK664" s="62">
        <f t="shared" si="30"/>
        <v>0</v>
      </c>
      <c r="BL664" s="63"/>
      <c r="BM664" s="71"/>
      <c r="BN664" s="72"/>
      <c r="BO664" s="71"/>
    </row>
    <row r="665" spans="2:67" ht="18.95" customHeight="1">
      <c r="B665" s="51" t="s">
        <v>883</v>
      </c>
      <c r="C665" s="73" t="s">
        <v>74</v>
      </c>
      <c r="D665" s="53" t="s">
        <v>883</v>
      </c>
      <c r="E665" s="156" t="s">
        <v>884</v>
      </c>
      <c r="F665" s="66"/>
      <c r="G665" s="66"/>
      <c r="H665" s="66"/>
      <c r="I665" s="66">
        <v>1</v>
      </c>
      <c r="J665" s="66"/>
      <c r="K665" s="66"/>
      <c r="L665" s="66"/>
      <c r="M665" s="66"/>
      <c r="N665" s="67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8"/>
      <c r="AS665" s="66"/>
      <c r="AT665" s="66"/>
      <c r="AU665" s="66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55"/>
      <c r="BG665" s="70"/>
      <c r="BH665" s="63">
        <f t="shared" si="29"/>
        <v>1</v>
      </c>
      <c r="BI665" s="63">
        <v>1</v>
      </c>
      <c r="BJ665" s="70"/>
      <c r="BK665" s="62">
        <f t="shared" si="30"/>
        <v>0</v>
      </c>
      <c r="BL665" s="63"/>
      <c r="BM665" s="71"/>
      <c r="BN665" s="71"/>
      <c r="BO665" s="71"/>
    </row>
    <row r="666" spans="2:67" ht="18.95" customHeight="1">
      <c r="B666" s="51" t="s">
        <v>885</v>
      </c>
      <c r="C666" s="73" t="s">
        <v>74</v>
      </c>
      <c r="D666" s="53" t="s">
        <v>885</v>
      </c>
      <c r="E666" s="156" t="s">
        <v>886</v>
      </c>
      <c r="F666" s="66"/>
      <c r="G666" s="66"/>
      <c r="H666" s="66"/>
      <c r="I666" s="66">
        <v>1</v>
      </c>
      <c r="J666" s="66"/>
      <c r="K666" s="66"/>
      <c r="L666" s="66"/>
      <c r="M666" s="66"/>
      <c r="N666" s="67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8"/>
      <c r="AS666" s="66"/>
      <c r="AT666" s="66"/>
      <c r="AU666" s="66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55"/>
      <c r="BG666" s="70"/>
      <c r="BH666" s="63">
        <f t="shared" si="29"/>
        <v>1</v>
      </c>
      <c r="BI666" s="63">
        <v>2</v>
      </c>
      <c r="BJ666" s="70"/>
      <c r="BK666" s="62">
        <f t="shared" si="30"/>
        <v>-1</v>
      </c>
      <c r="BL666" s="63"/>
      <c r="BM666" s="71"/>
      <c r="BN666" s="71"/>
      <c r="BO666" s="71"/>
    </row>
    <row r="667" spans="2:67" ht="18.75" customHeight="1">
      <c r="B667" s="51" t="s">
        <v>887</v>
      </c>
      <c r="C667" s="73" t="s">
        <v>74</v>
      </c>
      <c r="D667" s="53" t="s">
        <v>887</v>
      </c>
      <c r="E667" s="156" t="s">
        <v>888</v>
      </c>
      <c r="F667" s="66"/>
      <c r="G667" s="66"/>
      <c r="H667" s="66"/>
      <c r="I667" s="66">
        <v>10</v>
      </c>
      <c r="J667" s="66"/>
      <c r="K667" s="66"/>
      <c r="L667" s="66"/>
      <c r="M667" s="66"/>
      <c r="N667" s="67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8"/>
      <c r="AS667" s="66"/>
      <c r="AT667" s="66"/>
      <c r="AU667" s="66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55"/>
      <c r="BG667" s="70"/>
      <c r="BH667" s="63">
        <f t="shared" si="29"/>
        <v>10</v>
      </c>
      <c r="BI667" s="63">
        <v>10</v>
      </c>
      <c r="BJ667" s="70"/>
      <c r="BK667" s="62">
        <f t="shared" si="30"/>
        <v>0</v>
      </c>
      <c r="BL667" s="63"/>
      <c r="BM667" s="71"/>
      <c r="BN667" s="71"/>
      <c r="BO667" s="71"/>
    </row>
    <row r="668" spans="2:67" ht="18.75" customHeight="1">
      <c r="B668" s="51" t="s">
        <v>889</v>
      </c>
      <c r="C668" s="73" t="s">
        <v>74</v>
      </c>
      <c r="D668" s="53" t="s">
        <v>889</v>
      </c>
      <c r="E668" s="156" t="s">
        <v>890</v>
      </c>
      <c r="F668" s="66"/>
      <c r="G668" s="66"/>
      <c r="H668" s="66"/>
      <c r="I668" s="66"/>
      <c r="J668" s="66"/>
      <c r="K668" s="66"/>
      <c r="L668" s="66"/>
      <c r="M668" s="66"/>
      <c r="N668" s="67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8"/>
      <c r="AS668" s="66"/>
      <c r="AT668" s="66"/>
      <c r="AU668" s="66"/>
      <c r="AV668" s="69"/>
      <c r="AW668" s="69"/>
      <c r="AX668" s="69"/>
      <c r="AY668" s="69"/>
      <c r="AZ668" s="131"/>
      <c r="BA668" s="69"/>
      <c r="BB668" s="69">
        <v>1</v>
      </c>
      <c r="BC668" s="131"/>
      <c r="BD668" s="69"/>
      <c r="BE668" s="69"/>
      <c r="BF668" s="55"/>
      <c r="BG668" s="70"/>
      <c r="BH668" s="63">
        <f t="shared" si="29"/>
        <v>1</v>
      </c>
      <c r="BI668" s="63">
        <v>1</v>
      </c>
      <c r="BJ668" s="70"/>
      <c r="BK668" s="62">
        <f t="shared" si="30"/>
        <v>0</v>
      </c>
      <c r="BL668" s="63"/>
      <c r="BM668" s="71"/>
      <c r="BN668" s="71"/>
      <c r="BO668" s="71"/>
    </row>
    <row r="669" spans="2:67">
      <c r="B669" s="51" t="s">
        <v>891</v>
      </c>
      <c r="C669" s="73" t="s">
        <v>74</v>
      </c>
      <c r="D669" s="53" t="s">
        <v>891</v>
      </c>
      <c r="E669" s="156" t="s">
        <v>892</v>
      </c>
      <c r="F669" s="66"/>
      <c r="G669" s="66"/>
      <c r="H669" s="66"/>
      <c r="I669" s="66"/>
      <c r="J669" s="66"/>
      <c r="K669" s="66"/>
      <c r="L669" s="66"/>
      <c r="M669" s="66"/>
      <c r="N669" s="67"/>
      <c r="O669" s="66"/>
      <c r="P669" s="66"/>
      <c r="Q669" s="66"/>
      <c r="R669" s="66"/>
      <c r="S669" s="66"/>
      <c r="T669" s="66"/>
      <c r="U669" s="66">
        <v>1</v>
      </c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8"/>
      <c r="AS669" s="66"/>
      <c r="AT669" s="66"/>
      <c r="AU669" s="66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55"/>
      <c r="BG669" s="70"/>
      <c r="BH669" s="63">
        <f t="shared" si="29"/>
        <v>1</v>
      </c>
      <c r="BI669" s="63">
        <v>2</v>
      </c>
      <c r="BJ669" s="70"/>
      <c r="BK669" s="62">
        <f t="shared" si="30"/>
        <v>-1</v>
      </c>
      <c r="BL669" s="63"/>
      <c r="BM669" s="71"/>
      <c r="BN669" s="71"/>
      <c r="BO669" s="71"/>
    </row>
    <row r="670" spans="2:67" ht="18.95" customHeight="1">
      <c r="B670" s="51" t="s">
        <v>893</v>
      </c>
      <c r="C670" s="73" t="s">
        <v>74</v>
      </c>
      <c r="D670" s="53" t="s">
        <v>893</v>
      </c>
      <c r="E670" s="156" t="s">
        <v>894</v>
      </c>
      <c r="F670" s="66"/>
      <c r="G670" s="66"/>
      <c r="H670" s="66"/>
      <c r="I670" s="66"/>
      <c r="J670" s="66"/>
      <c r="K670" s="66"/>
      <c r="L670" s="66"/>
      <c r="M670" s="66"/>
      <c r="N670" s="67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8"/>
      <c r="AS670" s="66"/>
      <c r="AT670" s="66"/>
      <c r="AU670" s="66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55">
        <v>4</v>
      </c>
      <c r="BG670" s="70">
        <v>1</v>
      </c>
      <c r="BH670" s="63">
        <f t="shared" si="29"/>
        <v>5</v>
      </c>
      <c r="BI670" s="63">
        <v>5</v>
      </c>
      <c r="BJ670" s="70"/>
      <c r="BK670" s="62">
        <f t="shared" si="30"/>
        <v>0</v>
      </c>
      <c r="BL670" s="63"/>
      <c r="BM670" s="71"/>
      <c r="BN670" s="71"/>
      <c r="BO670" s="71"/>
    </row>
    <row r="671" spans="2:67" ht="18.95" customHeight="1">
      <c r="B671" s="51" t="s">
        <v>895</v>
      </c>
      <c r="C671" s="73" t="s">
        <v>74</v>
      </c>
      <c r="D671" s="53" t="s">
        <v>895</v>
      </c>
      <c r="E671" s="156" t="s">
        <v>896</v>
      </c>
      <c r="F671" s="66"/>
      <c r="G671" s="66"/>
      <c r="H671" s="66"/>
      <c r="I671" s="66"/>
      <c r="J671" s="66"/>
      <c r="K671" s="66"/>
      <c r="L671" s="66"/>
      <c r="M671" s="66"/>
      <c r="N671" s="67"/>
      <c r="O671" s="66"/>
      <c r="P671" s="66"/>
      <c r="Q671" s="66"/>
      <c r="R671" s="66"/>
      <c r="S671" s="66"/>
      <c r="T671" s="66">
        <v>1</v>
      </c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8"/>
      <c r="AS671" s="66"/>
      <c r="AT671" s="66"/>
      <c r="AU671" s="66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55"/>
      <c r="BG671" s="70"/>
      <c r="BH671" s="63">
        <f t="shared" si="29"/>
        <v>1</v>
      </c>
      <c r="BI671" s="63">
        <v>1</v>
      </c>
      <c r="BJ671" s="70"/>
      <c r="BK671" s="62">
        <f t="shared" si="30"/>
        <v>0</v>
      </c>
      <c r="BL671" s="63"/>
      <c r="BM671" s="71"/>
      <c r="BN671" s="71"/>
      <c r="BO671" s="71"/>
    </row>
    <row r="672" spans="2:67" ht="18.75" customHeight="1">
      <c r="B672" s="51" t="s">
        <v>897</v>
      </c>
      <c r="C672" s="73" t="s">
        <v>74</v>
      </c>
      <c r="D672" s="53" t="s">
        <v>897</v>
      </c>
      <c r="E672" s="156" t="s">
        <v>898</v>
      </c>
      <c r="F672" s="66"/>
      <c r="G672" s="66"/>
      <c r="H672" s="66"/>
      <c r="I672" s="66"/>
      <c r="J672" s="66"/>
      <c r="K672" s="66"/>
      <c r="L672" s="66"/>
      <c r="M672" s="66"/>
      <c r="N672" s="67"/>
      <c r="O672" s="66"/>
      <c r="P672" s="66"/>
      <c r="Q672" s="66"/>
      <c r="R672" s="66"/>
      <c r="S672" s="66"/>
      <c r="T672" s="66"/>
      <c r="U672" s="66"/>
      <c r="V672" s="66"/>
      <c r="W672" s="66"/>
      <c r="X672" s="66">
        <v>1</v>
      </c>
      <c r="Y672" s="66"/>
      <c r="Z672" s="66"/>
      <c r="AA672" s="66"/>
      <c r="AB672" s="66">
        <v>1</v>
      </c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8"/>
      <c r="AS672" s="66"/>
      <c r="AT672" s="66"/>
      <c r="AU672" s="66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55"/>
      <c r="BG672" s="70"/>
      <c r="BH672" s="63">
        <f t="shared" si="29"/>
        <v>2</v>
      </c>
      <c r="BI672" s="63">
        <v>2</v>
      </c>
      <c r="BJ672" s="70"/>
      <c r="BK672" s="62">
        <f t="shared" si="30"/>
        <v>0</v>
      </c>
      <c r="BL672" s="63"/>
      <c r="BM672" s="71"/>
      <c r="BN672" s="71"/>
      <c r="BO672" s="71"/>
    </row>
    <row r="673" spans="2:67" ht="18.95" customHeight="1">
      <c r="B673" s="51" t="s">
        <v>899</v>
      </c>
      <c r="C673" s="73" t="s">
        <v>74</v>
      </c>
      <c r="D673" s="53" t="s">
        <v>899</v>
      </c>
      <c r="E673" s="156" t="s">
        <v>900</v>
      </c>
      <c r="F673" s="66"/>
      <c r="G673" s="66"/>
      <c r="H673" s="66"/>
      <c r="I673" s="66"/>
      <c r="J673" s="66"/>
      <c r="K673" s="66"/>
      <c r="L673" s="66"/>
      <c r="M673" s="66"/>
      <c r="N673" s="67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8"/>
      <c r="AS673" s="66"/>
      <c r="AT673" s="66"/>
      <c r="AU673" s="66">
        <v>2</v>
      </c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55"/>
      <c r="BG673" s="70"/>
      <c r="BH673" s="63">
        <f t="shared" si="29"/>
        <v>2</v>
      </c>
      <c r="BI673" s="63">
        <v>2</v>
      </c>
      <c r="BJ673" s="70"/>
      <c r="BK673" s="62">
        <f t="shared" si="30"/>
        <v>0</v>
      </c>
      <c r="BL673" s="63"/>
      <c r="BM673" s="71"/>
      <c r="BN673" s="71"/>
      <c r="BO673" s="71"/>
    </row>
    <row r="674" spans="2:67" ht="18.95" customHeight="1">
      <c r="B674" s="51" t="s">
        <v>901</v>
      </c>
      <c r="C674" s="73" t="s">
        <v>74</v>
      </c>
      <c r="D674" s="53" t="s">
        <v>901</v>
      </c>
      <c r="E674" s="158" t="s">
        <v>902</v>
      </c>
      <c r="F674" s="66"/>
      <c r="G674" s="66"/>
      <c r="H674" s="66"/>
      <c r="I674" s="66"/>
      <c r="J674" s="66"/>
      <c r="K674" s="66"/>
      <c r="L674" s="66"/>
      <c r="M674" s="66"/>
      <c r="N674" s="67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8"/>
      <c r="AS674" s="66"/>
      <c r="AT674" s="66"/>
      <c r="AU674" s="66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55"/>
      <c r="BG674" s="70">
        <v>1</v>
      </c>
      <c r="BH674" s="63">
        <f t="shared" si="29"/>
        <v>1</v>
      </c>
      <c r="BI674" s="63">
        <v>1</v>
      </c>
      <c r="BJ674" s="70"/>
      <c r="BK674" s="62">
        <f t="shared" si="30"/>
        <v>0</v>
      </c>
      <c r="BL674" s="63"/>
      <c r="BM674" s="71"/>
      <c r="BN674" s="71"/>
      <c r="BO674" s="71"/>
    </row>
    <row r="675" spans="2:67" ht="18.95" customHeight="1">
      <c r="B675" s="51" t="s">
        <v>903</v>
      </c>
      <c r="C675" s="73" t="s">
        <v>74</v>
      </c>
      <c r="D675" s="53" t="s">
        <v>903</v>
      </c>
      <c r="E675" s="159" t="s">
        <v>904</v>
      </c>
      <c r="F675" s="66"/>
      <c r="G675" s="66"/>
      <c r="H675" s="66"/>
      <c r="I675" s="66"/>
      <c r="J675" s="66"/>
      <c r="K675" s="66"/>
      <c r="L675" s="66"/>
      <c r="M675" s="66"/>
      <c r="N675" s="67"/>
      <c r="O675" s="66">
        <v>20</v>
      </c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8"/>
      <c r="AS675" s="66"/>
      <c r="AT675" s="66"/>
      <c r="AU675" s="66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55"/>
      <c r="BG675" s="70"/>
      <c r="BH675" s="63">
        <f t="shared" si="29"/>
        <v>20</v>
      </c>
      <c r="BI675" s="63">
        <v>20</v>
      </c>
      <c r="BJ675" s="70"/>
      <c r="BK675" s="62">
        <f t="shared" si="30"/>
        <v>0</v>
      </c>
      <c r="BL675" s="63"/>
      <c r="BM675" s="71"/>
      <c r="BN675" s="71"/>
      <c r="BO675" s="71"/>
    </row>
    <row r="676" spans="2:67" ht="18.95" customHeight="1">
      <c r="B676" s="51" t="s">
        <v>905</v>
      </c>
      <c r="C676" s="73" t="s">
        <v>74</v>
      </c>
      <c r="D676" s="53" t="s">
        <v>905</v>
      </c>
      <c r="E676" s="159" t="s">
        <v>906</v>
      </c>
      <c r="F676" s="66"/>
      <c r="G676" s="66"/>
      <c r="H676" s="66"/>
      <c r="I676" s="66"/>
      <c r="J676" s="66"/>
      <c r="K676" s="66"/>
      <c r="L676" s="66"/>
      <c r="M676" s="66"/>
      <c r="N676" s="67"/>
      <c r="O676" s="66">
        <v>10</v>
      </c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8"/>
      <c r="AS676" s="66"/>
      <c r="AT676" s="66"/>
      <c r="AU676" s="66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55"/>
      <c r="BG676" s="70"/>
      <c r="BH676" s="63">
        <f t="shared" si="29"/>
        <v>10</v>
      </c>
      <c r="BI676" s="63">
        <v>10</v>
      </c>
      <c r="BJ676" s="70"/>
      <c r="BK676" s="62">
        <f t="shared" si="30"/>
        <v>0</v>
      </c>
      <c r="BL676" s="63"/>
      <c r="BM676" s="71"/>
      <c r="BN676" s="71"/>
      <c r="BO676" s="71"/>
    </row>
    <row r="677" spans="2:67" ht="18.75" customHeight="1">
      <c r="B677" s="51" t="s">
        <v>907</v>
      </c>
      <c r="C677" s="73" t="s">
        <v>74</v>
      </c>
      <c r="D677" s="53" t="s">
        <v>907</v>
      </c>
      <c r="E677" s="159" t="s">
        <v>908</v>
      </c>
      <c r="F677" s="66"/>
      <c r="G677" s="66"/>
      <c r="H677" s="66"/>
      <c r="I677" s="66"/>
      <c r="J677" s="66"/>
      <c r="K677" s="66"/>
      <c r="L677" s="66"/>
      <c r="M677" s="66"/>
      <c r="N677" s="67"/>
      <c r="O677" s="66">
        <v>20</v>
      </c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8"/>
      <c r="AS677" s="66"/>
      <c r="AT677" s="66"/>
      <c r="AU677" s="66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55"/>
      <c r="BG677" s="70"/>
      <c r="BH677" s="63">
        <f t="shared" si="29"/>
        <v>20</v>
      </c>
      <c r="BI677" s="63">
        <v>20</v>
      </c>
      <c r="BJ677" s="70"/>
      <c r="BK677" s="62">
        <f t="shared" si="30"/>
        <v>0</v>
      </c>
      <c r="BL677" s="63"/>
      <c r="BM677" s="71"/>
      <c r="BN677" s="71"/>
      <c r="BO677" s="71"/>
    </row>
    <row r="678" spans="2:67" ht="18.95" customHeight="1">
      <c r="B678" s="51" t="s">
        <v>909</v>
      </c>
      <c r="C678" s="52" t="s">
        <v>74</v>
      </c>
      <c r="D678" s="53" t="s">
        <v>909</v>
      </c>
      <c r="E678" s="159" t="s">
        <v>910</v>
      </c>
      <c r="F678" s="66"/>
      <c r="G678" s="66"/>
      <c r="H678" s="66"/>
      <c r="I678" s="66"/>
      <c r="J678" s="66"/>
      <c r="K678" s="66"/>
      <c r="L678" s="66"/>
      <c r="M678" s="66"/>
      <c r="N678" s="67"/>
      <c r="O678" s="66">
        <v>20</v>
      </c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8"/>
      <c r="AS678" s="66"/>
      <c r="AT678" s="66"/>
      <c r="AU678" s="66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55"/>
      <c r="BG678" s="70"/>
      <c r="BH678" s="63">
        <f t="shared" si="29"/>
        <v>20</v>
      </c>
      <c r="BI678" s="63">
        <v>20</v>
      </c>
      <c r="BJ678" s="70"/>
      <c r="BK678" s="62">
        <f t="shared" si="30"/>
        <v>0</v>
      </c>
      <c r="BL678" s="63"/>
      <c r="BM678" s="71"/>
      <c r="BN678" s="71"/>
      <c r="BO678" s="71"/>
    </row>
    <row r="679" spans="2:67" ht="18.75" customHeight="1">
      <c r="B679" s="51" t="s">
        <v>911</v>
      </c>
      <c r="C679" s="73" t="s">
        <v>74</v>
      </c>
      <c r="D679" s="53" t="s">
        <v>911</v>
      </c>
      <c r="E679" s="159" t="s">
        <v>912</v>
      </c>
      <c r="F679" s="66"/>
      <c r="G679" s="66"/>
      <c r="H679" s="66"/>
      <c r="I679" s="66"/>
      <c r="J679" s="66"/>
      <c r="K679" s="66"/>
      <c r="L679" s="66"/>
      <c r="M679" s="66"/>
      <c r="N679" s="67"/>
      <c r="O679" s="66">
        <v>20</v>
      </c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8"/>
      <c r="AS679" s="66"/>
      <c r="AT679" s="66"/>
      <c r="AU679" s="66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55"/>
      <c r="BG679" s="70"/>
      <c r="BH679" s="63">
        <f t="shared" si="29"/>
        <v>20</v>
      </c>
      <c r="BI679" s="63">
        <v>20</v>
      </c>
      <c r="BJ679" s="70"/>
      <c r="BK679" s="62">
        <f t="shared" si="30"/>
        <v>0</v>
      </c>
      <c r="BL679" s="63"/>
      <c r="BM679" s="71"/>
      <c r="BN679" s="71"/>
      <c r="BO679" s="71"/>
    </row>
    <row r="680" spans="2:67" ht="18.75" customHeight="1">
      <c r="B680" s="51" t="s">
        <v>913</v>
      </c>
      <c r="C680" s="73" t="s">
        <v>74</v>
      </c>
      <c r="D680" s="53" t="s">
        <v>913</v>
      </c>
      <c r="E680" s="159" t="s">
        <v>914</v>
      </c>
      <c r="F680" s="66"/>
      <c r="G680" s="66"/>
      <c r="H680" s="66"/>
      <c r="I680" s="66"/>
      <c r="J680" s="66"/>
      <c r="K680" s="66"/>
      <c r="L680" s="66"/>
      <c r="M680" s="66"/>
      <c r="N680" s="67"/>
      <c r="O680" s="66">
        <v>20</v>
      </c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8"/>
      <c r="AS680" s="66"/>
      <c r="AT680" s="66"/>
      <c r="AU680" s="66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55"/>
      <c r="BG680" s="70"/>
      <c r="BH680" s="63">
        <f t="shared" si="29"/>
        <v>20</v>
      </c>
      <c r="BI680" s="63">
        <v>20</v>
      </c>
      <c r="BJ680" s="70"/>
      <c r="BK680" s="62">
        <f t="shared" si="30"/>
        <v>0</v>
      </c>
      <c r="BL680" s="63"/>
      <c r="BM680" s="71"/>
      <c r="BN680" s="71"/>
      <c r="BO680" s="71"/>
    </row>
    <row r="681" spans="2:67" ht="18.75" customHeight="1">
      <c r="B681" s="51" t="s">
        <v>915</v>
      </c>
      <c r="C681" s="73" t="s">
        <v>74</v>
      </c>
      <c r="D681" s="53" t="s">
        <v>915</v>
      </c>
      <c r="E681" s="160" t="s">
        <v>916</v>
      </c>
      <c r="F681" s="66"/>
      <c r="G681" s="66"/>
      <c r="H681" s="66"/>
      <c r="I681" s="66"/>
      <c r="J681" s="66"/>
      <c r="K681" s="66"/>
      <c r="L681" s="66"/>
      <c r="M681" s="66"/>
      <c r="N681" s="67"/>
      <c r="O681" s="66">
        <v>1</v>
      </c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8"/>
      <c r="AS681" s="66"/>
      <c r="AT681" s="66"/>
      <c r="AU681" s="66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55"/>
      <c r="BG681" s="70"/>
      <c r="BH681" s="63">
        <v>1</v>
      </c>
      <c r="BI681" s="63">
        <v>1</v>
      </c>
      <c r="BJ681" s="70"/>
      <c r="BK681" s="62">
        <f t="shared" si="30"/>
        <v>0</v>
      </c>
      <c r="BL681" s="63"/>
      <c r="BM681" s="71"/>
      <c r="BN681" s="71"/>
      <c r="BO681" s="71"/>
    </row>
    <row r="682" spans="2:67" ht="18.95" customHeight="1">
      <c r="B682" s="51" t="s">
        <v>917</v>
      </c>
      <c r="C682" s="73" t="s">
        <v>74</v>
      </c>
      <c r="D682" s="53" t="s">
        <v>917</v>
      </c>
      <c r="E682" s="160" t="s">
        <v>918</v>
      </c>
      <c r="F682" s="66"/>
      <c r="G682" s="66"/>
      <c r="H682" s="66"/>
      <c r="I682" s="66"/>
      <c r="J682" s="66"/>
      <c r="K682" s="66"/>
      <c r="L682" s="66"/>
      <c r="M682" s="66"/>
      <c r="N682" s="67"/>
      <c r="O682" s="66">
        <v>1</v>
      </c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8"/>
      <c r="AS682" s="66"/>
      <c r="AT682" s="66"/>
      <c r="AU682" s="66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55"/>
      <c r="BG682" s="70"/>
      <c r="BH682" s="63">
        <f t="shared" ref="BH682:BH699" si="31">SUM(F682:BG682)</f>
        <v>1</v>
      </c>
      <c r="BI682" s="63">
        <v>1</v>
      </c>
      <c r="BJ682" s="70"/>
      <c r="BK682" s="62">
        <f t="shared" si="30"/>
        <v>0</v>
      </c>
      <c r="BL682" s="63"/>
      <c r="BM682" s="71"/>
      <c r="BN682" s="71"/>
      <c r="BO682" s="71"/>
    </row>
    <row r="683" spans="2:67" ht="18.75" customHeight="1">
      <c r="B683" s="51" t="s">
        <v>919</v>
      </c>
      <c r="C683" s="73" t="s">
        <v>74</v>
      </c>
      <c r="D683" s="53" t="s">
        <v>919</v>
      </c>
      <c r="E683" s="160" t="s">
        <v>920</v>
      </c>
      <c r="F683" s="66"/>
      <c r="G683" s="66"/>
      <c r="H683" s="66"/>
      <c r="I683" s="66"/>
      <c r="J683" s="66"/>
      <c r="K683" s="66"/>
      <c r="L683" s="66"/>
      <c r="M683" s="66"/>
      <c r="N683" s="67"/>
      <c r="O683" s="66">
        <v>10</v>
      </c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8"/>
      <c r="AS683" s="66"/>
      <c r="AT683" s="66"/>
      <c r="AU683" s="66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55"/>
      <c r="BG683" s="70"/>
      <c r="BH683" s="63">
        <f t="shared" si="31"/>
        <v>10</v>
      </c>
      <c r="BI683" s="63">
        <v>10</v>
      </c>
      <c r="BJ683" s="70"/>
      <c r="BK683" s="62">
        <f t="shared" si="30"/>
        <v>0</v>
      </c>
      <c r="BL683" s="63"/>
      <c r="BM683" s="71"/>
      <c r="BN683" s="71"/>
      <c r="BO683" s="71"/>
    </row>
    <row r="684" spans="2:67" ht="18.75" customHeight="1">
      <c r="B684" s="51" t="s">
        <v>921</v>
      </c>
      <c r="C684" s="73" t="s">
        <v>74</v>
      </c>
      <c r="D684" s="53" t="s">
        <v>921</v>
      </c>
      <c r="E684" s="160" t="s">
        <v>922</v>
      </c>
      <c r="F684" s="66"/>
      <c r="G684" s="66"/>
      <c r="H684" s="66"/>
      <c r="I684" s="66"/>
      <c r="J684" s="66"/>
      <c r="K684" s="66"/>
      <c r="L684" s="66"/>
      <c r="M684" s="66"/>
      <c r="N684" s="67"/>
      <c r="O684" s="90">
        <v>1</v>
      </c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8"/>
      <c r="AS684" s="66"/>
      <c r="AT684" s="66"/>
      <c r="AU684" s="66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55"/>
      <c r="BG684" s="70"/>
      <c r="BH684" s="63">
        <f t="shared" si="31"/>
        <v>1</v>
      </c>
      <c r="BI684" s="63">
        <v>1</v>
      </c>
      <c r="BJ684" s="70"/>
      <c r="BK684" s="62">
        <f t="shared" si="30"/>
        <v>0</v>
      </c>
      <c r="BL684" s="63"/>
      <c r="BM684" s="71"/>
      <c r="BN684" s="71"/>
      <c r="BO684" s="71"/>
    </row>
    <row r="685" spans="2:67" ht="18.95" customHeight="1">
      <c r="B685" s="51" t="s">
        <v>923</v>
      </c>
      <c r="C685" s="73" t="s">
        <v>74</v>
      </c>
      <c r="D685" s="53" t="s">
        <v>923</v>
      </c>
      <c r="E685" s="160" t="s">
        <v>924</v>
      </c>
      <c r="F685" s="66"/>
      <c r="G685" s="66"/>
      <c r="H685" s="66"/>
      <c r="I685" s="66"/>
      <c r="J685" s="66"/>
      <c r="K685" s="66"/>
      <c r="L685" s="66"/>
      <c r="M685" s="66"/>
      <c r="N685" s="67"/>
      <c r="O685" s="66">
        <v>1</v>
      </c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8"/>
      <c r="AS685" s="66"/>
      <c r="AT685" s="66"/>
      <c r="AU685" s="66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55"/>
      <c r="BG685" s="70"/>
      <c r="BH685" s="63">
        <f t="shared" si="31"/>
        <v>1</v>
      </c>
      <c r="BI685" s="63">
        <v>1</v>
      </c>
      <c r="BJ685" s="70"/>
      <c r="BK685" s="62">
        <f t="shared" si="30"/>
        <v>0</v>
      </c>
      <c r="BL685" s="63"/>
      <c r="BM685" s="71"/>
      <c r="BN685" s="71"/>
      <c r="BO685" s="71"/>
    </row>
    <row r="686" spans="2:67" ht="18.95" customHeight="1">
      <c r="B686" s="51" t="s">
        <v>925</v>
      </c>
      <c r="C686" s="73" t="s">
        <v>74</v>
      </c>
      <c r="D686" s="53" t="s">
        <v>925</v>
      </c>
      <c r="E686" s="160" t="s">
        <v>926</v>
      </c>
      <c r="F686" s="66"/>
      <c r="G686" s="66"/>
      <c r="H686" s="66"/>
      <c r="I686" s="66"/>
      <c r="J686" s="66"/>
      <c r="K686" s="66"/>
      <c r="L686" s="66"/>
      <c r="M686" s="66"/>
      <c r="N686" s="67"/>
      <c r="O686" s="66">
        <v>1</v>
      </c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75"/>
      <c r="AM686" s="66"/>
      <c r="AN686" s="66"/>
      <c r="AO686" s="66"/>
      <c r="AP686" s="66"/>
      <c r="AQ686" s="66"/>
      <c r="AR686" s="68"/>
      <c r="AS686" s="66"/>
      <c r="AT686" s="66"/>
      <c r="AU686" s="66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55"/>
      <c r="BG686" s="70"/>
      <c r="BH686" s="63">
        <f t="shared" si="31"/>
        <v>1</v>
      </c>
      <c r="BI686" s="63">
        <v>1</v>
      </c>
      <c r="BJ686" s="70"/>
      <c r="BK686" s="62">
        <f t="shared" si="30"/>
        <v>0</v>
      </c>
      <c r="BL686" s="63"/>
      <c r="BM686" s="71"/>
      <c r="BN686" s="71"/>
      <c r="BO686" s="71"/>
    </row>
    <row r="687" spans="2:67" ht="18.95" customHeight="1">
      <c r="B687" s="51" t="s">
        <v>927</v>
      </c>
      <c r="C687" s="73" t="s">
        <v>74</v>
      </c>
      <c r="D687" s="53" t="s">
        <v>927</v>
      </c>
      <c r="E687" s="161" t="s">
        <v>928</v>
      </c>
      <c r="F687" s="66"/>
      <c r="G687" s="66"/>
      <c r="H687" s="66"/>
      <c r="I687" s="66"/>
      <c r="J687" s="66"/>
      <c r="K687" s="66"/>
      <c r="L687" s="66"/>
      <c r="M687" s="66"/>
      <c r="N687" s="67"/>
      <c r="O687" s="66"/>
      <c r="P687" s="66"/>
      <c r="Q687" s="66"/>
      <c r="R687" s="66"/>
      <c r="S687" s="66">
        <v>60</v>
      </c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75"/>
      <c r="AM687" s="66"/>
      <c r="AN687" s="66"/>
      <c r="AO687" s="66"/>
      <c r="AP687" s="66"/>
      <c r="AQ687" s="66"/>
      <c r="AR687" s="68"/>
      <c r="AS687" s="66"/>
      <c r="AT687" s="66"/>
      <c r="AU687" s="66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55"/>
      <c r="BG687" s="70"/>
      <c r="BH687" s="63">
        <f t="shared" si="31"/>
        <v>60</v>
      </c>
      <c r="BI687" s="63">
        <v>60</v>
      </c>
      <c r="BJ687" s="70"/>
      <c r="BK687" s="62">
        <f t="shared" si="30"/>
        <v>0</v>
      </c>
      <c r="BL687" s="63"/>
      <c r="BM687" s="71"/>
      <c r="BN687" s="71"/>
      <c r="BO687" s="71"/>
    </row>
    <row r="688" spans="2:67" ht="18.75" customHeight="1">
      <c r="B688" s="51" t="s">
        <v>929</v>
      </c>
      <c r="C688" s="73" t="s">
        <v>74</v>
      </c>
      <c r="D688" s="53" t="s">
        <v>929</v>
      </c>
      <c r="E688" s="161" t="s">
        <v>930</v>
      </c>
      <c r="F688" s="66"/>
      <c r="G688" s="66"/>
      <c r="H688" s="66"/>
      <c r="I688" s="66">
        <v>1</v>
      </c>
      <c r="J688" s="66"/>
      <c r="K688" s="66"/>
      <c r="L688" s="66"/>
      <c r="M688" s="66"/>
      <c r="N688" s="67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8"/>
      <c r="AS688" s="66"/>
      <c r="AT688" s="66"/>
      <c r="AU688" s="66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55"/>
      <c r="BG688" s="70"/>
      <c r="BH688" s="63">
        <f t="shared" si="31"/>
        <v>1</v>
      </c>
      <c r="BI688" s="63">
        <v>1</v>
      </c>
      <c r="BJ688" s="70"/>
      <c r="BK688" s="62">
        <f t="shared" si="30"/>
        <v>0</v>
      </c>
      <c r="BL688" s="63"/>
      <c r="BM688" s="71"/>
      <c r="BN688" s="65"/>
      <c r="BO688" s="65"/>
    </row>
    <row r="689" spans="2:67" ht="36" customHeight="1">
      <c r="B689" s="51" t="s">
        <v>931</v>
      </c>
      <c r="C689" s="73" t="s">
        <v>74</v>
      </c>
      <c r="D689" s="53" t="s">
        <v>931</v>
      </c>
      <c r="E689" s="162" t="s">
        <v>932</v>
      </c>
      <c r="F689" s="55"/>
      <c r="G689" s="66"/>
      <c r="H689" s="66"/>
      <c r="I689" s="66"/>
      <c r="J689" s="66"/>
      <c r="K689" s="66"/>
      <c r="L689" s="66"/>
      <c r="M689" s="66"/>
      <c r="N689" s="67"/>
      <c r="O689" s="66"/>
      <c r="P689" s="66"/>
      <c r="Q689" s="66"/>
      <c r="R689" s="66"/>
      <c r="S689" s="66"/>
      <c r="T689" s="66"/>
      <c r="U689" s="66"/>
      <c r="V689" s="66"/>
      <c r="W689" s="66"/>
      <c r="X689" s="66">
        <v>1</v>
      </c>
      <c r="Y689" s="66"/>
      <c r="Z689" s="66"/>
      <c r="AA689" s="66"/>
      <c r="AB689" s="66"/>
      <c r="AC689" s="66"/>
      <c r="AD689" s="66"/>
      <c r="AE689" s="66"/>
      <c r="AF689" s="66"/>
      <c r="AG689" s="66"/>
      <c r="AH689" s="66">
        <v>1</v>
      </c>
      <c r="AI689" s="66"/>
      <c r="AJ689" s="66"/>
      <c r="AK689" s="66"/>
      <c r="AL689" s="75"/>
      <c r="AM689" s="66"/>
      <c r="AN689" s="66"/>
      <c r="AO689" s="66"/>
      <c r="AP689" s="66"/>
      <c r="AQ689" s="66"/>
      <c r="AR689" s="68"/>
      <c r="AS689" s="66"/>
      <c r="AT689" s="66"/>
      <c r="AU689" s="66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55"/>
      <c r="BG689" s="70"/>
      <c r="BH689" s="63">
        <f t="shared" si="31"/>
        <v>2</v>
      </c>
      <c r="BI689" s="63">
        <v>1</v>
      </c>
      <c r="BJ689" s="70"/>
      <c r="BK689" s="62">
        <f t="shared" si="30"/>
        <v>1</v>
      </c>
      <c r="BL689" s="63"/>
      <c r="BM689" s="71"/>
      <c r="BN689" s="65"/>
      <c r="BO689" s="65"/>
    </row>
    <row r="690" spans="2:67" ht="18.95" customHeight="1">
      <c r="B690" s="51" t="s">
        <v>933</v>
      </c>
      <c r="C690" s="73" t="s">
        <v>74</v>
      </c>
      <c r="D690" s="53" t="s">
        <v>933</v>
      </c>
      <c r="E690" s="156" t="s">
        <v>934</v>
      </c>
      <c r="F690" s="66"/>
      <c r="G690" s="66"/>
      <c r="H690" s="66"/>
      <c r="I690" s="66"/>
      <c r="J690" s="66"/>
      <c r="K690" s="66"/>
      <c r="L690" s="66"/>
      <c r="M690" s="66"/>
      <c r="N690" s="67"/>
      <c r="O690" s="66"/>
      <c r="P690" s="66"/>
      <c r="Q690" s="66"/>
      <c r="R690" s="66"/>
      <c r="S690" s="66"/>
      <c r="T690" s="66"/>
      <c r="U690" s="66"/>
      <c r="V690" s="66"/>
      <c r="W690" s="66"/>
      <c r="X690" s="66">
        <v>1</v>
      </c>
      <c r="Y690" s="66"/>
      <c r="Z690" s="66"/>
      <c r="AA690" s="66"/>
      <c r="AB690" s="66"/>
      <c r="AC690" s="66"/>
      <c r="AD690" s="66"/>
      <c r="AE690" s="66"/>
      <c r="AF690" s="66"/>
      <c r="AG690" s="66"/>
      <c r="AH690" s="66">
        <v>1</v>
      </c>
      <c r="AI690" s="66"/>
      <c r="AJ690" s="66"/>
      <c r="AK690" s="66"/>
      <c r="AL690" s="66"/>
      <c r="AM690" s="66"/>
      <c r="AN690" s="66"/>
      <c r="AO690" s="66"/>
      <c r="AP690" s="66"/>
      <c r="AQ690" s="66"/>
      <c r="AR690" s="68"/>
      <c r="AS690" s="66"/>
      <c r="AT690" s="66"/>
      <c r="AU690" s="66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55"/>
      <c r="BG690" s="70"/>
      <c r="BH690" s="63">
        <f t="shared" si="31"/>
        <v>2</v>
      </c>
      <c r="BI690" s="63">
        <v>2</v>
      </c>
      <c r="BJ690" s="70"/>
      <c r="BK690" s="62">
        <f t="shared" si="30"/>
        <v>0</v>
      </c>
      <c r="BL690" s="63"/>
      <c r="BM690" s="71"/>
      <c r="BN690" s="71"/>
      <c r="BO690" s="71"/>
    </row>
    <row r="691" spans="2:67" ht="18.75" customHeight="1">
      <c r="B691" s="51" t="s">
        <v>935</v>
      </c>
      <c r="C691" s="73" t="s">
        <v>74</v>
      </c>
      <c r="D691" s="53" t="s">
        <v>935</v>
      </c>
      <c r="E691" s="156" t="s">
        <v>936</v>
      </c>
      <c r="F691" s="55"/>
      <c r="G691" s="55"/>
      <c r="H691" s="55"/>
      <c r="I691" s="55"/>
      <c r="J691" s="55"/>
      <c r="K691" s="55"/>
      <c r="L691" s="55"/>
      <c r="M691" s="55"/>
      <c r="N691" s="56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>
        <v>1</v>
      </c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76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70"/>
      <c r="BH691" s="63">
        <f t="shared" si="31"/>
        <v>1</v>
      </c>
      <c r="BI691" s="63">
        <v>1</v>
      </c>
      <c r="BJ691" s="70"/>
      <c r="BK691" s="62">
        <f t="shared" si="30"/>
        <v>0</v>
      </c>
      <c r="BL691" s="63"/>
      <c r="BM691" s="71"/>
      <c r="BN691" s="65"/>
      <c r="BO691" s="65"/>
    </row>
    <row r="692" spans="2:67" ht="18.95" customHeight="1">
      <c r="B692" s="51" t="s">
        <v>937</v>
      </c>
      <c r="C692" s="73" t="s">
        <v>74</v>
      </c>
      <c r="D692" s="53" t="s">
        <v>937</v>
      </c>
      <c r="E692" s="156" t="s">
        <v>938</v>
      </c>
      <c r="F692" s="163"/>
      <c r="G692" s="164"/>
      <c r="H692" s="164"/>
      <c r="I692" s="164"/>
      <c r="J692" s="164"/>
      <c r="K692" s="164"/>
      <c r="L692" s="164"/>
      <c r="M692" s="164"/>
      <c r="N692" s="165"/>
      <c r="O692" s="164"/>
      <c r="P692" s="166"/>
      <c r="Q692" s="164"/>
      <c r="R692" s="164"/>
      <c r="S692" s="164"/>
      <c r="T692" s="164"/>
      <c r="U692" s="166">
        <v>1</v>
      </c>
      <c r="V692" s="164"/>
      <c r="W692" s="164"/>
      <c r="X692" s="164"/>
      <c r="Y692" s="164"/>
      <c r="Z692" s="164"/>
      <c r="AA692" s="164"/>
      <c r="AB692" s="164"/>
      <c r="AC692" s="164"/>
      <c r="AD692" s="164"/>
      <c r="AE692" s="164"/>
      <c r="AF692" s="164"/>
      <c r="AG692" s="164"/>
      <c r="AH692" s="164"/>
      <c r="AI692" s="164"/>
      <c r="AJ692" s="164"/>
      <c r="AK692" s="164"/>
      <c r="AL692" s="167"/>
      <c r="AM692" s="164"/>
      <c r="AN692" s="164"/>
      <c r="AO692" s="164"/>
      <c r="AP692" s="164"/>
      <c r="AQ692" s="164"/>
      <c r="AR692" s="164"/>
      <c r="AS692" s="164"/>
      <c r="AT692" s="164"/>
      <c r="AU692" s="164"/>
      <c r="AV692" s="164"/>
      <c r="AW692" s="164"/>
      <c r="AX692" s="164"/>
      <c r="AY692" s="164"/>
      <c r="AZ692" s="164"/>
      <c r="BA692" s="164"/>
      <c r="BB692" s="164"/>
      <c r="BC692" s="164"/>
      <c r="BD692" s="164"/>
      <c r="BE692" s="164"/>
      <c r="BF692" s="164"/>
      <c r="BG692" s="164"/>
      <c r="BH692" s="63">
        <f t="shared" si="31"/>
        <v>1</v>
      </c>
      <c r="BI692" s="168">
        <v>1</v>
      </c>
      <c r="BJ692" s="164"/>
      <c r="BK692" s="62">
        <f t="shared" si="30"/>
        <v>0</v>
      </c>
      <c r="BL692" s="169"/>
    </row>
    <row r="693" spans="2:67" ht="18.75" customHeight="1">
      <c r="B693" s="51" t="s">
        <v>939</v>
      </c>
      <c r="C693" s="73" t="s">
        <v>74</v>
      </c>
      <c r="D693" s="53" t="s">
        <v>939</v>
      </c>
      <c r="E693" s="170" t="s">
        <v>940</v>
      </c>
      <c r="F693" s="163"/>
      <c r="G693" s="164"/>
      <c r="H693" s="164"/>
      <c r="I693" s="164"/>
      <c r="J693" s="164"/>
      <c r="K693" s="164"/>
      <c r="L693" s="164"/>
      <c r="M693" s="164"/>
      <c r="N693" s="165"/>
      <c r="O693" s="164"/>
      <c r="P693" s="166"/>
      <c r="Q693" s="164"/>
      <c r="R693" s="164"/>
      <c r="S693" s="164"/>
      <c r="T693" s="164"/>
      <c r="U693" s="164"/>
      <c r="V693" s="164"/>
      <c r="W693" s="164"/>
      <c r="X693" s="166">
        <v>1</v>
      </c>
      <c r="Y693" s="164"/>
      <c r="Z693" s="164"/>
      <c r="AA693" s="164"/>
      <c r="AB693" s="164"/>
      <c r="AC693" s="164"/>
      <c r="AD693" s="164"/>
      <c r="AE693" s="164"/>
      <c r="AF693" s="164"/>
      <c r="AG693" s="164"/>
      <c r="AH693" s="164"/>
      <c r="AI693" s="164"/>
      <c r="AJ693" s="164"/>
      <c r="AK693" s="164"/>
      <c r="AL693" s="167"/>
      <c r="AM693" s="164"/>
      <c r="AN693" s="164"/>
      <c r="AO693" s="164"/>
      <c r="AP693" s="164"/>
      <c r="AQ693" s="164"/>
      <c r="AR693" s="164"/>
      <c r="AS693" s="164"/>
      <c r="AT693" s="164"/>
      <c r="AU693" s="164"/>
      <c r="AV693" s="164"/>
      <c r="AW693" s="164"/>
      <c r="AX693" s="164"/>
      <c r="AY693" s="164"/>
      <c r="AZ693" s="164"/>
      <c r="BA693" s="164"/>
      <c r="BB693" s="164"/>
      <c r="BC693" s="164"/>
      <c r="BD693" s="164"/>
      <c r="BE693" s="164"/>
      <c r="BF693" s="164"/>
      <c r="BG693" s="164"/>
      <c r="BH693" s="63">
        <f t="shared" si="31"/>
        <v>1</v>
      </c>
      <c r="BI693" s="168">
        <v>1</v>
      </c>
      <c r="BJ693" s="164"/>
      <c r="BK693" s="62">
        <f t="shared" si="30"/>
        <v>0</v>
      </c>
      <c r="BL693" s="169"/>
    </row>
    <row r="694" spans="2:67" ht="18.95" customHeight="1">
      <c r="B694" s="51" t="s">
        <v>941</v>
      </c>
      <c r="C694" s="73" t="s">
        <v>74</v>
      </c>
      <c r="D694" s="53" t="s">
        <v>941</v>
      </c>
      <c r="E694" s="156" t="s">
        <v>942</v>
      </c>
      <c r="F694" s="163"/>
      <c r="G694" s="164"/>
      <c r="H694" s="164"/>
      <c r="I694" s="164"/>
      <c r="J694" s="164"/>
      <c r="K694" s="164"/>
      <c r="L694" s="164"/>
      <c r="M694" s="164"/>
      <c r="N694" s="165"/>
      <c r="O694" s="164"/>
      <c r="P694" s="166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  <c r="AD694" s="164"/>
      <c r="AE694" s="164"/>
      <c r="AF694" s="164"/>
      <c r="AG694" s="164"/>
      <c r="AH694" s="164"/>
      <c r="AI694" s="164"/>
      <c r="AJ694" s="166">
        <v>1</v>
      </c>
      <c r="AK694" s="164"/>
      <c r="AL694" s="167"/>
      <c r="AM694" s="164"/>
      <c r="AN694" s="164"/>
      <c r="AO694" s="164"/>
      <c r="AP694" s="164"/>
      <c r="AQ694" s="164"/>
      <c r="AR694" s="164"/>
      <c r="AS694" s="164"/>
      <c r="AT694" s="164"/>
      <c r="AU694" s="164"/>
      <c r="AV694" s="164"/>
      <c r="AW694" s="164"/>
      <c r="AX694" s="164"/>
      <c r="AY694" s="164"/>
      <c r="AZ694" s="164"/>
      <c r="BA694" s="164"/>
      <c r="BB694" s="164"/>
      <c r="BC694" s="164"/>
      <c r="BD694" s="164"/>
      <c r="BE694" s="164"/>
      <c r="BF694" s="164"/>
      <c r="BG694" s="164"/>
      <c r="BH694" s="63">
        <f t="shared" si="31"/>
        <v>1</v>
      </c>
      <c r="BI694" s="168">
        <v>1</v>
      </c>
      <c r="BJ694" s="164"/>
      <c r="BK694" s="62">
        <f t="shared" si="30"/>
        <v>0</v>
      </c>
      <c r="BL694" s="169"/>
    </row>
    <row r="695" spans="2:67" ht="18.75" customHeight="1">
      <c r="B695" s="51" t="s">
        <v>943</v>
      </c>
      <c r="C695" s="73" t="s">
        <v>74</v>
      </c>
      <c r="D695" s="53" t="s">
        <v>943</v>
      </c>
      <c r="E695" s="156" t="s">
        <v>944</v>
      </c>
      <c r="F695" s="163"/>
      <c r="G695" s="164"/>
      <c r="H695" s="164"/>
      <c r="I695" s="164"/>
      <c r="J695" s="164"/>
      <c r="K695" s="164"/>
      <c r="L695" s="164"/>
      <c r="M695" s="164"/>
      <c r="N695" s="165"/>
      <c r="O695" s="164"/>
      <c r="P695" s="166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  <c r="AD695" s="164"/>
      <c r="AE695" s="164"/>
      <c r="AF695" s="164"/>
      <c r="AG695" s="164"/>
      <c r="AH695" s="166">
        <v>1</v>
      </c>
      <c r="AI695" s="164"/>
      <c r="AJ695" s="164"/>
      <c r="AK695" s="164"/>
      <c r="AL695" s="167"/>
      <c r="AM695" s="164"/>
      <c r="AN695" s="164"/>
      <c r="AO695" s="164"/>
      <c r="AP695" s="164"/>
      <c r="AQ695" s="164"/>
      <c r="AR695" s="164"/>
      <c r="AS695" s="164"/>
      <c r="AT695" s="164"/>
      <c r="AU695" s="164"/>
      <c r="AV695" s="164"/>
      <c r="AW695" s="164"/>
      <c r="AX695" s="164"/>
      <c r="AY695" s="164"/>
      <c r="AZ695" s="164"/>
      <c r="BA695" s="164"/>
      <c r="BB695" s="164"/>
      <c r="BC695" s="164"/>
      <c r="BD695" s="164"/>
      <c r="BE695" s="164"/>
      <c r="BF695" s="164"/>
      <c r="BG695" s="164"/>
      <c r="BH695" s="63">
        <f t="shared" si="31"/>
        <v>1</v>
      </c>
      <c r="BI695" s="168">
        <v>1</v>
      </c>
      <c r="BJ695" s="164"/>
      <c r="BK695" s="62">
        <f t="shared" si="30"/>
        <v>0</v>
      </c>
      <c r="BL695" s="169"/>
    </row>
    <row r="696" spans="2:67" ht="18.95" customHeight="1">
      <c r="B696" s="51" t="s">
        <v>945</v>
      </c>
      <c r="C696" s="73" t="s">
        <v>74</v>
      </c>
      <c r="D696" s="53" t="s">
        <v>945</v>
      </c>
      <c r="E696" s="156" t="s">
        <v>133</v>
      </c>
      <c r="F696" s="163"/>
      <c r="G696" s="164"/>
      <c r="H696" s="164"/>
      <c r="I696" s="164"/>
      <c r="J696" s="164"/>
      <c r="K696" s="164"/>
      <c r="L696" s="164"/>
      <c r="M696" s="164"/>
      <c r="N696" s="165"/>
      <c r="O696" s="164"/>
      <c r="P696" s="166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  <c r="AD696" s="164"/>
      <c r="AE696" s="164"/>
      <c r="AF696" s="164"/>
      <c r="AG696" s="164"/>
      <c r="AH696" s="164"/>
      <c r="AI696" s="164"/>
      <c r="AJ696" s="164"/>
      <c r="AK696" s="164"/>
      <c r="AL696" s="167"/>
      <c r="AM696" s="164"/>
      <c r="AN696" s="166">
        <v>1</v>
      </c>
      <c r="AO696" s="164"/>
      <c r="AP696" s="164"/>
      <c r="AQ696" s="164"/>
      <c r="AR696" s="164"/>
      <c r="AS696" s="164"/>
      <c r="AT696" s="164"/>
      <c r="AU696" s="164"/>
      <c r="AV696" s="164"/>
      <c r="AW696" s="164"/>
      <c r="AX696" s="164"/>
      <c r="AY696" s="164"/>
      <c r="AZ696" s="164"/>
      <c r="BA696" s="164"/>
      <c r="BB696" s="164"/>
      <c r="BC696" s="164"/>
      <c r="BD696" s="164"/>
      <c r="BE696" s="164"/>
      <c r="BF696" s="164"/>
      <c r="BG696" s="164"/>
      <c r="BH696" s="63">
        <f t="shared" si="31"/>
        <v>1</v>
      </c>
      <c r="BI696" s="168">
        <v>1</v>
      </c>
      <c r="BJ696" s="164"/>
      <c r="BK696" s="62">
        <f t="shared" si="30"/>
        <v>0</v>
      </c>
      <c r="BL696" s="169"/>
    </row>
    <row r="697" spans="2:67" s="171" customFormat="1" ht="18.75" customHeight="1">
      <c r="B697" s="172" t="s">
        <v>946</v>
      </c>
      <c r="C697" s="73" t="s">
        <v>74</v>
      </c>
      <c r="D697" s="132" t="s">
        <v>946</v>
      </c>
      <c r="E697" s="173" t="s">
        <v>947</v>
      </c>
      <c r="F697" s="163"/>
      <c r="G697" s="164"/>
      <c r="H697" s="164"/>
      <c r="I697" s="164"/>
      <c r="J697" s="164"/>
      <c r="K697" s="164"/>
      <c r="L697" s="164"/>
      <c r="M697" s="164"/>
      <c r="N697" s="165"/>
      <c r="O697" s="164"/>
      <c r="P697" s="174"/>
      <c r="Q697" s="175"/>
      <c r="R697" s="164"/>
      <c r="S697" s="175"/>
      <c r="T697" s="175"/>
      <c r="U697" s="175"/>
      <c r="V697" s="175"/>
      <c r="W697" s="175"/>
      <c r="X697" s="175"/>
      <c r="Y697" s="175"/>
      <c r="Z697" s="164"/>
      <c r="AA697" s="175"/>
      <c r="AB697" s="175"/>
      <c r="AC697" s="175"/>
      <c r="AD697" s="175"/>
      <c r="AE697" s="175"/>
      <c r="AF697" s="175"/>
      <c r="AG697" s="175"/>
      <c r="AH697" s="175"/>
      <c r="AI697" s="175"/>
      <c r="AJ697" s="175"/>
      <c r="AK697" s="175"/>
      <c r="AL697" s="176"/>
      <c r="AM697" s="175">
        <v>1</v>
      </c>
      <c r="AN697" s="175"/>
      <c r="AO697" s="175"/>
      <c r="AP697" s="175"/>
      <c r="AQ697" s="175"/>
      <c r="AR697" s="175"/>
      <c r="AS697" s="175"/>
      <c r="AT697" s="175"/>
      <c r="AU697" s="175"/>
      <c r="AV697" s="175"/>
      <c r="AW697" s="175"/>
      <c r="AX697" s="175"/>
      <c r="AY697" s="175"/>
      <c r="AZ697" s="175"/>
      <c r="BA697" s="175"/>
      <c r="BB697" s="175"/>
      <c r="BC697" s="175"/>
      <c r="BD697" s="164"/>
      <c r="BE697" s="175"/>
      <c r="BF697" s="175"/>
      <c r="BG697" s="164"/>
      <c r="BH697" s="126">
        <f t="shared" si="31"/>
        <v>1</v>
      </c>
      <c r="BI697" s="177">
        <v>1</v>
      </c>
      <c r="BJ697" s="175"/>
      <c r="BK697" s="62">
        <f t="shared" si="30"/>
        <v>0</v>
      </c>
      <c r="BL697" s="178"/>
    </row>
    <row r="698" spans="2:67" ht="18.95" customHeight="1">
      <c r="B698" s="51" t="s">
        <v>948</v>
      </c>
      <c r="C698" s="73" t="s">
        <v>74</v>
      </c>
      <c r="D698" s="53" t="s">
        <v>948</v>
      </c>
      <c r="E698" s="156" t="s">
        <v>949</v>
      </c>
      <c r="F698" s="163"/>
      <c r="G698" s="164"/>
      <c r="H698" s="164"/>
      <c r="I698" s="164"/>
      <c r="J698" s="164"/>
      <c r="K698" s="164"/>
      <c r="L698" s="164"/>
      <c r="M698" s="164"/>
      <c r="N698" s="165"/>
      <c r="O698" s="164"/>
      <c r="P698" s="166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  <c r="AD698" s="166">
        <v>1</v>
      </c>
      <c r="AE698" s="164"/>
      <c r="AF698" s="164"/>
      <c r="AG698" s="164"/>
      <c r="AH698" s="164"/>
      <c r="AI698" s="164"/>
      <c r="AJ698" s="164"/>
      <c r="AK698" s="164"/>
      <c r="AL698" s="167"/>
      <c r="AM698" s="164"/>
      <c r="AN698" s="164"/>
      <c r="AO698" s="164"/>
      <c r="AP698" s="164"/>
      <c r="AQ698" s="164"/>
      <c r="AR698" s="164"/>
      <c r="AS698" s="164"/>
      <c r="AT698" s="164"/>
      <c r="AU698" s="164"/>
      <c r="AV698" s="164"/>
      <c r="AW698" s="164"/>
      <c r="AX698" s="164"/>
      <c r="AY698" s="164"/>
      <c r="AZ698" s="164"/>
      <c r="BA698" s="164"/>
      <c r="BB698" s="164"/>
      <c r="BC698" s="164"/>
      <c r="BD698" s="164"/>
      <c r="BE698" s="164"/>
      <c r="BF698" s="164"/>
      <c r="BG698" s="164"/>
      <c r="BH698" s="63">
        <f t="shared" si="31"/>
        <v>1</v>
      </c>
      <c r="BI698" s="168">
        <v>1</v>
      </c>
      <c r="BJ698" s="164"/>
      <c r="BK698" s="62">
        <f t="shared" si="30"/>
        <v>0</v>
      </c>
      <c r="BL698" s="169"/>
    </row>
    <row r="699" spans="2:67" ht="18.95" customHeight="1">
      <c r="B699" s="51" t="s">
        <v>950</v>
      </c>
      <c r="C699" s="73" t="s">
        <v>74</v>
      </c>
      <c r="D699" s="53" t="s">
        <v>950</v>
      </c>
      <c r="E699" s="156" t="s">
        <v>951</v>
      </c>
      <c r="F699" s="163"/>
      <c r="G699" s="164"/>
      <c r="H699" s="164"/>
      <c r="I699" s="164"/>
      <c r="J699" s="164"/>
      <c r="K699" s="164"/>
      <c r="L699" s="164"/>
      <c r="M699" s="164"/>
      <c r="N699" s="165"/>
      <c r="O699" s="164"/>
      <c r="P699" s="166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  <c r="AD699" s="164"/>
      <c r="AE699" s="164"/>
      <c r="AF699" s="164"/>
      <c r="AG699" s="164"/>
      <c r="AH699" s="164"/>
      <c r="AI699" s="166">
        <v>1</v>
      </c>
      <c r="AJ699" s="164"/>
      <c r="AK699" s="164"/>
      <c r="AL699" s="167"/>
      <c r="AM699" s="164"/>
      <c r="AN699" s="164"/>
      <c r="AO699" s="164"/>
      <c r="AP699" s="164"/>
      <c r="AQ699" s="164"/>
      <c r="AR699" s="164"/>
      <c r="AS699" s="164"/>
      <c r="AT699" s="164"/>
      <c r="AU699" s="164"/>
      <c r="AV699" s="164"/>
      <c r="AW699" s="164"/>
      <c r="AX699" s="164"/>
      <c r="AY699" s="164"/>
      <c r="AZ699" s="164"/>
      <c r="BA699" s="164"/>
      <c r="BB699" s="164"/>
      <c r="BC699" s="164"/>
      <c r="BD699" s="164"/>
      <c r="BE699" s="164"/>
      <c r="BF699" s="164"/>
      <c r="BG699" s="164"/>
      <c r="BH699" s="63">
        <f t="shared" si="31"/>
        <v>1</v>
      </c>
      <c r="BI699" s="168">
        <v>1</v>
      </c>
      <c r="BJ699" s="164"/>
      <c r="BK699" s="62">
        <f t="shared" si="30"/>
        <v>0</v>
      </c>
      <c r="BL699" s="169"/>
    </row>
    <row r="700" spans="2:67" ht="18.95" customHeight="1">
      <c r="B700" s="51" t="s">
        <v>952</v>
      </c>
      <c r="C700" s="73" t="s">
        <v>74</v>
      </c>
      <c r="D700" s="53" t="s">
        <v>952</v>
      </c>
      <c r="E700" s="156" t="s">
        <v>953</v>
      </c>
      <c r="F700" s="163"/>
      <c r="G700" s="164"/>
      <c r="H700" s="164"/>
      <c r="I700" s="164"/>
      <c r="J700" s="164"/>
      <c r="K700" s="164"/>
      <c r="L700" s="164"/>
      <c r="M700" s="164"/>
      <c r="N700" s="165"/>
      <c r="O700" s="164"/>
      <c r="P700" s="166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  <c r="AD700" s="164"/>
      <c r="AE700" s="164"/>
      <c r="AF700" s="164"/>
      <c r="AG700" s="164"/>
      <c r="AH700" s="164"/>
      <c r="AI700" s="164"/>
      <c r="AJ700" s="164"/>
      <c r="AK700" s="164"/>
      <c r="AL700" s="167"/>
      <c r="AM700" s="164"/>
      <c r="AN700" s="164"/>
      <c r="AO700" s="164"/>
      <c r="AP700" s="164"/>
      <c r="AQ700" s="164"/>
      <c r="AR700" s="164"/>
      <c r="AS700" s="164"/>
      <c r="AT700" s="164"/>
      <c r="AU700" s="164"/>
      <c r="AV700" s="164"/>
      <c r="AW700" s="164"/>
      <c r="AX700" s="164"/>
      <c r="AY700" s="164"/>
      <c r="AZ700" s="164"/>
      <c r="BA700" s="164"/>
      <c r="BB700" s="164"/>
      <c r="BC700" s="164"/>
      <c r="BD700" s="164"/>
      <c r="BE700" s="164"/>
      <c r="BF700" s="166">
        <v>1</v>
      </c>
      <c r="BG700" s="164"/>
      <c r="BH700" s="63">
        <v>1</v>
      </c>
      <c r="BI700" s="179">
        <v>1</v>
      </c>
      <c r="BJ700" s="164"/>
      <c r="BK700" s="62">
        <f t="shared" si="30"/>
        <v>0</v>
      </c>
      <c r="BL700" s="169"/>
    </row>
    <row r="701" spans="2:67" ht="18.95" customHeight="1">
      <c r="B701" s="51" t="s">
        <v>954</v>
      </c>
      <c r="C701" s="73" t="s">
        <v>74</v>
      </c>
      <c r="D701" s="53" t="s">
        <v>954</v>
      </c>
      <c r="E701" s="156" t="s">
        <v>955</v>
      </c>
      <c r="F701" s="163"/>
      <c r="G701" s="164"/>
      <c r="H701" s="164"/>
      <c r="I701" s="164"/>
      <c r="J701" s="164"/>
      <c r="K701" s="164"/>
      <c r="L701" s="164"/>
      <c r="M701" s="164"/>
      <c r="N701" s="165"/>
      <c r="O701" s="164"/>
      <c r="P701" s="166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  <c r="AD701" s="164"/>
      <c r="AE701" s="164"/>
      <c r="AF701" s="164"/>
      <c r="AG701" s="164"/>
      <c r="AH701" s="164"/>
      <c r="AI701" s="164"/>
      <c r="AJ701" s="164"/>
      <c r="AK701" s="164"/>
      <c r="AL701" s="167"/>
      <c r="AM701" s="164"/>
      <c r="AN701" s="164"/>
      <c r="AO701" s="164"/>
      <c r="AP701" s="164"/>
      <c r="AQ701" s="164"/>
      <c r="AR701" s="164"/>
      <c r="AS701" s="164"/>
      <c r="AT701" s="164"/>
      <c r="AU701" s="164"/>
      <c r="AV701" s="164"/>
      <c r="AW701" s="164"/>
      <c r="AX701" s="164"/>
      <c r="AY701" s="164"/>
      <c r="AZ701" s="164"/>
      <c r="BA701" s="164"/>
      <c r="BB701" s="164"/>
      <c r="BC701" s="164"/>
      <c r="BD701" s="164"/>
      <c r="BE701" s="164"/>
      <c r="BF701" s="166">
        <v>1</v>
      </c>
      <c r="BG701" s="164"/>
      <c r="BH701" s="63">
        <f>SUM(F701:BG701)</f>
        <v>1</v>
      </c>
      <c r="BI701" s="179">
        <v>1</v>
      </c>
      <c r="BJ701" s="164"/>
      <c r="BK701" s="62">
        <f t="shared" si="30"/>
        <v>0</v>
      </c>
      <c r="BL701" s="169"/>
    </row>
    <row r="702" spans="2:67" ht="18.95" customHeight="1">
      <c r="B702" s="83"/>
      <c r="C702" s="180"/>
      <c r="D702" s="83"/>
      <c r="E702" s="181"/>
      <c r="BH702" s="182"/>
    </row>
    <row r="703" spans="2:67" ht="18.95" customHeight="1">
      <c r="B703" s="83"/>
      <c r="C703" s="180"/>
      <c r="D703" s="83"/>
      <c r="E703" s="181"/>
      <c r="BH703" s="182"/>
    </row>
    <row r="704" spans="2:67" ht="18.95" customHeight="1">
      <c r="B704" s="83"/>
      <c r="C704" s="180"/>
      <c r="D704" s="83"/>
      <c r="E704" s="181"/>
      <c r="BH704" s="182"/>
    </row>
    <row r="705" spans="2:67" ht="18.95" customHeight="1">
      <c r="B705" s="83"/>
      <c r="C705" s="180"/>
      <c r="D705" s="83"/>
      <c r="E705" s="181"/>
      <c r="BH705" s="182"/>
    </row>
    <row r="706" spans="2:67" ht="18.95" customHeight="1">
      <c r="B706" s="83"/>
      <c r="C706" s="180"/>
      <c r="D706" s="83"/>
      <c r="E706" s="181"/>
      <c r="BH706" s="182"/>
    </row>
    <row r="707" spans="2:67" ht="18.95" customHeight="1">
      <c r="B707" s="83"/>
      <c r="C707" s="180"/>
      <c r="D707" s="83"/>
      <c r="E707" s="181"/>
      <c r="BH707" s="182"/>
    </row>
    <row r="708" spans="2:67" ht="18.95" customHeight="1">
      <c r="B708" s="83"/>
      <c r="C708" s="180"/>
      <c r="D708" s="83"/>
      <c r="E708" s="181"/>
      <c r="BH708" s="182"/>
    </row>
    <row r="709" spans="2:67" ht="18.95" customHeight="1">
      <c r="B709" s="2" t="s">
        <v>1</v>
      </c>
      <c r="C709" s="2"/>
      <c r="D709" s="2"/>
      <c r="E709" s="2"/>
      <c r="F709" s="3"/>
      <c r="G709" s="4"/>
      <c r="H709" s="4"/>
      <c r="I709" s="4"/>
      <c r="J709" s="4"/>
      <c r="K709" s="4"/>
      <c r="L709" s="4"/>
      <c r="M709" s="4"/>
      <c r="N709" s="107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5"/>
      <c r="AE709" s="5"/>
      <c r="AF709" s="5"/>
      <c r="AG709" s="5"/>
      <c r="AH709" s="5"/>
      <c r="AI709" s="5"/>
      <c r="AJ709" s="5"/>
      <c r="AK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7"/>
      <c r="BI709" s="7"/>
      <c r="BJ709" s="5"/>
      <c r="BK709" s="5"/>
      <c r="BM709" s="5"/>
      <c r="BN709" s="5"/>
      <c r="BO709" s="5"/>
    </row>
    <row r="710" spans="2:67" ht="18.95" customHeight="1">
      <c r="B710" s="2"/>
      <c r="C710" s="2"/>
      <c r="D710" s="2"/>
      <c r="E710" s="2"/>
      <c r="F710" s="139" t="s">
        <v>0</v>
      </c>
      <c r="G710" s="139"/>
      <c r="H710" s="139"/>
      <c r="I710" s="139"/>
      <c r="J710" s="139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40"/>
      <c r="Z710" s="140"/>
      <c r="AA710" s="140"/>
      <c r="AB710" s="140"/>
      <c r="AC710" s="140"/>
      <c r="AD710" s="140"/>
      <c r="AE710" s="141"/>
      <c r="AF710" s="8"/>
      <c r="AG710" s="8"/>
      <c r="AH710" s="8"/>
      <c r="AI710" s="8"/>
      <c r="AJ710" s="8"/>
      <c r="AK710" s="8"/>
      <c r="AL710" s="142"/>
      <c r="AM710" s="8"/>
      <c r="AN710" s="8"/>
      <c r="AO710" s="8"/>
      <c r="AP710" s="8"/>
      <c r="AQ710" s="8"/>
      <c r="AR710" s="143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9" t="s">
        <v>956</v>
      </c>
      <c r="BG710" s="10"/>
      <c r="BH710" s="10"/>
      <c r="BI710" s="10"/>
      <c r="BJ710" s="10"/>
      <c r="BK710" s="10"/>
      <c r="BL710" s="10"/>
      <c r="BM710" s="10"/>
      <c r="BN710" s="10"/>
      <c r="BO710" s="11"/>
    </row>
    <row r="711" spans="2:67" ht="18.95" customHeight="1">
      <c r="B711" s="12"/>
      <c r="C711" s="12"/>
      <c r="D711" s="12"/>
      <c r="E711" s="12"/>
      <c r="F711" s="13"/>
      <c r="G711" s="14" t="s">
        <v>3</v>
      </c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6"/>
      <c r="AM711" s="15"/>
      <c r="AN711" s="15"/>
      <c r="AO711" s="15"/>
      <c r="AP711" s="15"/>
      <c r="AQ711" s="15"/>
      <c r="AR711" s="17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8"/>
      <c r="BM711" s="15"/>
      <c r="BN711" s="15"/>
      <c r="BO711" s="15"/>
    </row>
    <row r="712" spans="2:67" ht="18.95" customHeight="1">
      <c r="B712" s="19" t="s">
        <v>4</v>
      </c>
      <c r="C712" s="20" t="s">
        <v>5</v>
      </c>
      <c r="D712" s="20"/>
      <c r="E712" s="21" t="s">
        <v>6</v>
      </c>
      <c r="F712" s="110" t="s">
        <v>135</v>
      </c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  <c r="AZ712" s="111"/>
      <c r="BA712" s="111"/>
      <c r="BB712" s="111"/>
      <c r="BC712" s="111"/>
      <c r="BD712" s="111"/>
      <c r="BE712" s="111"/>
      <c r="BF712" s="24" t="s">
        <v>8</v>
      </c>
      <c r="BG712" s="25"/>
      <c r="BH712" s="25"/>
      <c r="BI712" s="26"/>
      <c r="BJ712" s="31" t="s">
        <v>9</v>
      </c>
      <c r="BK712" s="32"/>
      <c r="BL712" s="29"/>
      <c r="BM712" s="30"/>
      <c r="BN712" s="31" t="s">
        <v>10</v>
      </c>
      <c r="BO712" s="32"/>
    </row>
    <row r="713" spans="2:67" ht="120" customHeight="1">
      <c r="B713" s="33"/>
      <c r="C713" s="34" t="s">
        <v>11</v>
      </c>
      <c r="D713" s="35" t="s">
        <v>4</v>
      </c>
      <c r="E713" s="35" t="s">
        <v>12</v>
      </c>
      <c r="F713" s="36" t="s">
        <v>13</v>
      </c>
      <c r="G713" s="36" t="s">
        <v>14</v>
      </c>
      <c r="H713" s="36" t="s">
        <v>15</v>
      </c>
      <c r="I713" s="36" t="s">
        <v>16</v>
      </c>
      <c r="J713" s="36" t="s">
        <v>17</v>
      </c>
      <c r="K713" s="36" t="s">
        <v>18</v>
      </c>
      <c r="L713" s="36" t="s">
        <v>19</v>
      </c>
      <c r="M713" s="36" t="s">
        <v>20</v>
      </c>
      <c r="N713" s="37" t="s">
        <v>21</v>
      </c>
      <c r="O713" s="36" t="s">
        <v>22</v>
      </c>
      <c r="P713" s="36" t="s">
        <v>23</v>
      </c>
      <c r="Q713" s="36" t="s">
        <v>24</v>
      </c>
      <c r="R713" s="36" t="s">
        <v>25</v>
      </c>
      <c r="S713" s="36" t="s">
        <v>26</v>
      </c>
      <c r="T713" s="36" t="s">
        <v>27</v>
      </c>
      <c r="U713" s="36" t="s">
        <v>28</v>
      </c>
      <c r="V713" s="36" t="s">
        <v>29</v>
      </c>
      <c r="W713" s="36" t="s">
        <v>30</v>
      </c>
      <c r="X713" s="38" t="s">
        <v>31</v>
      </c>
      <c r="Y713" s="36" t="s">
        <v>32</v>
      </c>
      <c r="Z713" s="36" t="s">
        <v>33</v>
      </c>
      <c r="AA713" s="36" t="s">
        <v>34</v>
      </c>
      <c r="AB713" s="38" t="s">
        <v>35</v>
      </c>
      <c r="AC713" s="36" t="s">
        <v>36</v>
      </c>
      <c r="AD713" s="39" t="s">
        <v>37</v>
      </c>
      <c r="AE713" s="36" t="s">
        <v>38</v>
      </c>
      <c r="AF713" s="40" t="s">
        <v>39</v>
      </c>
      <c r="AG713" s="40" t="s">
        <v>40</v>
      </c>
      <c r="AH713" s="40" t="s">
        <v>41</v>
      </c>
      <c r="AI713" s="40" t="s">
        <v>42</v>
      </c>
      <c r="AJ713" s="40" t="s">
        <v>43</v>
      </c>
      <c r="AK713" s="40" t="s">
        <v>44</v>
      </c>
      <c r="AL713" s="41" t="s">
        <v>45</v>
      </c>
      <c r="AM713" s="42" t="s">
        <v>46</v>
      </c>
      <c r="AN713" s="43" t="s">
        <v>47</v>
      </c>
      <c r="AO713" s="40" t="s">
        <v>48</v>
      </c>
      <c r="AP713" s="40" t="s">
        <v>49</v>
      </c>
      <c r="AQ713" s="40" t="s">
        <v>50</v>
      </c>
      <c r="AR713" s="44" t="s">
        <v>136</v>
      </c>
      <c r="AS713" s="36" t="s">
        <v>52</v>
      </c>
      <c r="AT713" s="36" t="s">
        <v>53</v>
      </c>
      <c r="AU713" s="36" t="s">
        <v>54</v>
      </c>
      <c r="AV713" s="36" t="s">
        <v>55</v>
      </c>
      <c r="AW713" s="36" t="s">
        <v>56</v>
      </c>
      <c r="AX713" s="36" t="s">
        <v>203</v>
      </c>
      <c r="AY713" s="36" t="s">
        <v>58</v>
      </c>
      <c r="AZ713" s="38" t="s">
        <v>59</v>
      </c>
      <c r="BA713" s="36" t="s">
        <v>60</v>
      </c>
      <c r="BB713" s="36" t="s">
        <v>61</v>
      </c>
      <c r="BC713" s="39" t="s">
        <v>62</v>
      </c>
      <c r="BD713" s="36" t="s">
        <v>63</v>
      </c>
      <c r="BE713" s="36" t="s">
        <v>64</v>
      </c>
      <c r="BF713" s="45" t="s">
        <v>65</v>
      </c>
      <c r="BG713" s="45" t="s">
        <v>66</v>
      </c>
      <c r="BH713" s="45" t="s">
        <v>67</v>
      </c>
      <c r="BI713" s="45" t="s">
        <v>68</v>
      </c>
      <c r="BJ713" s="46" t="s">
        <v>69</v>
      </c>
      <c r="BK713" s="46" t="s">
        <v>70</v>
      </c>
      <c r="BL713" s="47" t="s">
        <v>71</v>
      </c>
      <c r="BM713" s="48" t="s">
        <v>72</v>
      </c>
      <c r="BN713" s="49" t="s">
        <v>69</v>
      </c>
      <c r="BO713" s="50" t="s">
        <v>70</v>
      </c>
    </row>
    <row r="714" spans="2:67" ht="18.75" customHeight="1">
      <c r="B714" s="51" t="s">
        <v>957</v>
      </c>
      <c r="C714" s="52" t="s">
        <v>74</v>
      </c>
      <c r="D714" s="53" t="s">
        <v>957</v>
      </c>
      <c r="E714" s="183" t="s">
        <v>958</v>
      </c>
      <c r="F714" s="55"/>
      <c r="G714" s="55"/>
      <c r="H714" s="55"/>
      <c r="I714" s="55"/>
      <c r="J714" s="55"/>
      <c r="K714" s="55"/>
      <c r="L714" s="55"/>
      <c r="M714" s="55"/>
      <c r="N714" s="56"/>
      <c r="O714" s="55"/>
      <c r="P714" s="55"/>
      <c r="Q714" s="57"/>
      <c r="R714" s="55"/>
      <c r="S714" s="58"/>
      <c r="T714" s="58" t="s">
        <v>959</v>
      </c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7"/>
      <c r="AF714" s="57"/>
      <c r="AG714" s="57"/>
      <c r="AH714" s="57"/>
      <c r="AI714" s="57"/>
      <c r="AJ714" s="57"/>
      <c r="AK714" s="57"/>
      <c r="AL714" s="59"/>
      <c r="AM714" s="57"/>
      <c r="AN714" s="57"/>
      <c r="AO714" s="55"/>
      <c r="AP714" s="55"/>
      <c r="AQ714" s="57"/>
      <c r="AR714" s="60"/>
      <c r="AS714" s="57"/>
      <c r="AT714" s="57"/>
      <c r="AU714" s="57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55"/>
      <c r="BG714" s="62"/>
      <c r="BH714" s="63">
        <v>1</v>
      </c>
      <c r="BI714" s="64">
        <v>1</v>
      </c>
      <c r="BJ714" s="62"/>
      <c r="BK714" s="62">
        <f>BH714-BI714</f>
        <v>0</v>
      </c>
      <c r="BL714" s="64"/>
      <c r="BM714" s="65"/>
      <c r="BN714" s="65"/>
      <c r="BO714" s="65"/>
    </row>
    <row r="715" spans="2:67" ht="18.95" customHeight="1">
      <c r="B715" s="51" t="s">
        <v>960</v>
      </c>
      <c r="C715" s="52" t="s">
        <v>74</v>
      </c>
      <c r="D715" s="53" t="s">
        <v>960</v>
      </c>
      <c r="E715" s="184" t="s">
        <v>961</v>
      </c>
      <c r="F715" s="66"/>
      <c r="G715" s="66"/>
      <c r="H715" s="66"/>
      <c r="I715" s="66"/>
      <c r="J715" s="66"/>
      <c r="K715" s="66"/>
      <c r="L715" s="66"/>
      <c r="M715" s="66"/>
      <c r="N715" s="67"/>
      <c r="O715" s="66"/>
      <c r="P715" s="66"/>
      <c r="Q715" s="66"/>
      <c r="R715" s="66"/>
      <c r="S715" s="66"/>
      <c r="T715" s="66"/>
      <c r="U715" s="66"/>
      <c r="V715" s="66">
        <v>1</v>
      </c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8"/>
      <c r="AS715" s="66"/>
      <c r="AT715" s="66"/>
      <c r="AU715" s="66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55"/>
      <c r="BG715" s="70"/>
      <c r="BH715" s="63">
        <f t="shared" ref="BH715:BH753" si="32">SUM(F715:BG715)</f>
        <v>1</v>
      </c>
      <c r="BI715" s="63">
        <v>1</v>
      </c>
      <c r="BJ715" s="70"/>
      <c r="BK715" s="62">
        <f t="shared" ref="BK715:BK743" si="33">BH715-BI715</f>
        <v>0</v>
      </c>
      <c r="BL715" s="63"/>
      <c r="BM715" s="71"/>
      <c r="BN715" s="71"/>
      <c r="BO715" s="72"/>
    </row>
    <row r="716" spans="2:67" ht="18.95" customHeight="1">
      <c r="B716" s="51" t="s">
        <v>962</v>
      </c>
      <c r="C716" s="73" t="s">
        <v>74</v>
      </c>
      <c r="D716" s="53" t="s">
        <v>962</v>
      </c>
      <c r="E716" s="185" t="s">
        <v>963</v>
      </c>
      <c r="F716" s="66"/>
      <c r="G716" s="66"/>
      <c r="H716" s="66"/>
      <c r="I716" s="66"/>
      <c r="J716" s="66"/>
      <c r="K716" s="66"/>
      <c r="L716" s="66"/>
      <c r="M716" s="66"/>
      <c r="N716" s="67"/>
      <c r="O716" s="66"/>
      <c r="P716" s="66"/>
      <c r="Q716" s="66"/>
      <c r="R716" s="66"/>
      <c r="S716" s="66"/>
      <c r="T716" s="66"/>
      <c r="U716" s="66"/>
      <c r="V716" s="66">
        <v>1</v>
      </c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8"/>
      <c r="AS716" s="66"/>
      <c r="AT716" s="66"/>
      <c r="AU716" s="66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55"/>
      <c r="BG716" s="70"/>
      <c r="BH716" s="63">
        <f t="shared" si="32"/>
        <v>1</v>
      </c>
      <c r="BI716" s="63">
        <v>1</v>
      </c>
      <c r="BJ716" s="70"/>
      <c r="BK716" s="62">
        <f t="shared" si="33"/>
        <v>0</v>
      </c>
      <c r="BL716" s="63"/>
      <c r="BM716" s="71"/>
      <c r="BN716" s="72"/>
      <c r="BO716" s="71"/>
    </row>
    <row r="717" spans="2:67" ht="18.75" customHeight="1">
      <c r="B717" s="51" t="s">
        <v>964</v>
      </c>
      <c r="C717" s="73" t="s">
        <v>74</v>
      </c>
      <c r="D717" s="53" t="s">
        <v>964</v>
      </c>
      <c r="E717" s="184" t="s">
        <v>965</v>
      </c>
      <c r="F717" s="66"/>
      <c r="G717" s="66"/>
      <c r="H717" s="66"/>
      <c r="I717" s="66"/>
      <c r="J717" s="66"/>
      <c r="K717" s="66"/>
      <c r="L717" s="66"/>
      <c r="M717" s="66"/>
      <c r="N717" s="67"/>
      <c r="O717" s="66"/>
      <c r="P717" s="66"/>
      <c r="Q717" s="66"/>
      <c r="R717" s="66"/>
      <c r="S717" s="66"/>
      <c r="T717" s="66"/>
      <c r="U717" s="66"/>
      <c r="V717" s="66">
        <v>1</v>
      </c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8"/>
      <c r="AS717" s="66"/>
      <c r="AT717" s="66"/>
      <c r="AU717" s="66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55"/>
      <c r="BG717" s="70"/>
      <c r="BH717" s="63">
        <f t="shared" si="32"/>
        <v>1</v>
      </c>
      <c r="BI717" s="63">
        <v>1</v>
      </c>
      <c r="BJ717" s="70"/>
      <c r="BK717" s="62">
        <f t="shared" si="33"/>
        <v>0</v>
      </c>
      <c r="BL717" s="63"/>
      <c r="BM717" s="71"/>
      <c r="BN717" s="71"/>
      <c r="BO717" s="71"/>
    </row>
    <row r="718" spans="2:67" ht="18.75" customHeight="1">
      <c r="B718" s="51" t="s">
        <v>966</v>
      </c>
      <c r="C718" s="73" t="s">
        <v>74</v>
      </c>
      <c r="D718" s="53" t="s">
        <v>966</v>
      </c>
      <c r="E718" s="184" t="s">
        <v>967</v>
      </c>
      <c r="F718" s="66"/>
      <c r="G718" s="66"/>
      <c r="H718" s="66"/>
      <c r="I718" s="66"/>
      <c r="J718" s="66"/>
      <c r="K718" s="66"/>
      <c r="L718" s="66"/>
      <c r="M718" s="66"/>
      <c r="N718" s="67"/>
      <c r="O718" s="66"/>
      <c r="P718" s="66"/>
      <c r="Q718" s="66"/>
      <c r="R718" s="66"/>
      <c r="S718" s="66"/>
      <c r="T718" s="66"/>
      <c r="U718" s="66"/>
      <c r="V718" s="66">
        <v>1</v>
      </c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8"/>
      <c r="AS718" s="66"/>
      <c r="AT718" s="66"/>
      <c r="AU718" s="66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55"/>
      <c r="BG718" s="70"/>
      <c r="BH718" s="63">
        <f t="shared" si="32"/>
        <v>1</v>
      </c>
      <c r="BI718" s="63">
        <v>1</v>
      </c>
      <c r="BJ718" s="70"/>
      <c r="BK718" s="62">
        <f t="shared" si="33"/>
        <v>0</v>
      </c>
      <c r="BL718" s="63"/>
      <c r="BM718" s="71"/>
      <c r="BN718" s="71"/>
      <c r="BO718" s="71"/>
    </row>
    <row r="719" spans="2:67" ht="18.95" customHeight="1">
      <c r="B719" s="51" t="s">
        <v>968</v>
      </c>
      <c r="C719" s="73" t="s">
        <v>74</v>
      </c>
      <c r="D719" s="53" t="s">
        <v>968</v>
      </c>
      <c r="E719" s="183" t="s">
        <v>969</v>
      </c>
      <c r="F719" s="66"/>
      <c r="G719" s="66"/>
      <c r="H719" s="66"/>
      <c r="I719" s="66"/>
      <c r="J719" s="66"/>
      <c r="K719" s="66"/>
      <c r="L719" s="66"/>
      <c r="M719" s="66"/>
      <c r="N719" s="67"/>
      <c r="O719" s="66"/>
      <c r="P719" s="66"/>
      <c r="Q719" s="66"/>
      <c r="R719" s="66"/>
      <c r="S719" s="66"/>
      <c r="T719" s="66"/>
      <c r="U719" s="66">
        <v>3</v>
      </c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8"/>
      <c r="AS719" s="66"/>
      <c r="AT719" s="66"/>
      <c r="AU719" s="66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55"/>
      <c r="BG719" s="70"/>
      <c r="BH719" s="63">
        <f t="shared" si="32"/>
        <v>3</v>
      </c>
      <c r="BI719" s="63">
        <v>3</v>
      </c>
      <c r="BJ719" s="70"/>
      <c r="BK719" s="62">
        <f t="shared" si="33"/>
        <v>0</v>
      </c>
      <c r="BL719" s="63"/>
      <c r="BM719" s="71"/>
      <c r="BN719" s="71"/>
      <c r="BO719" s="71"/>
    </row>
    <row r="720" spans="2:67" ht="18.95" customHeight="1">
      <c r="B720" s="51" t="s">
        <v>970</v>
      </c>
      <c r="C720" s="73" t="s">
        <v>74</v>
      </c>
      <c r="D720" s="53" t="s">
        <v>970</v>
      </c>
      <c r="E720" s="156"/>
      <c r="F720" s="66"/>
      <c r="G720" s="66"/>
      <c r="H720" s="66"/>
      <c r="I720" s="66"/>
      <c r="J720" s="66"/>
      <c r="K720" s="66"/>
      <c r="L720" s="66"/>
      <c r="M720" s="66"/>
      <c r="N720" s="67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8"/>
      <c r="AS720" s="66"/>
      <c r="AT720" s="66"/>
      <c r="AU720" s="66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55"/>
      <c r="BG720" s="70"/>
      <c r="BH720" s="63">
        <f t="shared" si="32"/>
        <v>0</v>
      </c>
      <c r="BI720" s="63"/>
      <c r="BJ720" s="70"/>
      <c r="BK720" s="62">
        <f t="shared" si="33"/>
        <v>0</v>
      </c>
      <c r="BL720" s="63"/>
      <c r="BM720" s="71"/>
      <c r="BN720" s="71"/>
      <c r="BO720" s="71"/>
    </row>
    <row r="721" spans="2:67" ht="18.95" customHeight="1">
      <c r="B721" s="51" t="s">
        <v>971</v>
      </c>
      <c r="C721" s="73" t="s">
        <v>74</v>
      </c>
      <c r="D721" s="53" t="s">
        <v>971</v>
      </c>
      <c r="E721" s="156"/>
      <c r="F721" s="66"/>
      <c r="G721" s="66"/>
      <c r="H721" s="66"/>
      <c r="I721" s="66"/>
      <c r="J721" s="66"/>
      <c r="K721" s="66"/>
      <c r="L721" s="66"/>
      <c r="M721" s="66"/>
      <c r="N721" s="67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8"/>
      <c r="AS721" s="66"/>
      <c r="AT721" s="66"/>
      <c r="AU721" s="66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55"/>
      <c r="BG721" s="70"/>
      <c r="BH721" s="63">
        <f t="shared" si="32"/>
        <v>0</v>
      </c>
      <c r="BI721" s="63"/>
      <c r="BJ721" s="70"/>
      <c r="BK721" s="62">
        <f t="shared" si="33"/>
        <v>0</v>
      </c>
      <c r="BL721" s="63"/>
      <c r="BM721" s="71"/>
      <c r="BN721" s="71"/>
      <c r="BO721" s="71"/>
    </row>
    <row r="722" spans="2:67" ht="18.95" customHeight="1">
      <c r="B722" s="51" t="s">
        <v>972</v>
      </c>
      <c r="C722" s="73" t="s">
        <v>74</v>
      </c>
      <c r="D722" s="53" t="s">
        <v>972</v>
      </c>
      <c r="E722" s="156"/>
      <c r="F722" s="66"/>
      <c r="G722" s="66"/>
      <c r="H722" s="66"/>
      <c r="I722" s="66"/>
      <c r="J722" s="66"/>
      <c r="K722" s="66"/>
      <c r="L722" s="66"/>
      <c r="M722" s="66"/>
      <c r="N722" s="67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8"/>
      <c r="AS722" s="66"/>
      <c r="AT722" s="66"/>
      <c r="AU722" s="66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55"/>
      <c r="BG722" s="70"/>
      <c r="BH722" s="63">
        <f t="shared" si="32"/>
        <v>0</v>
      </c>
      <c r="BI722" s="63"/>
      <c r="BJ722" s="70"/>
      <c r="BK722" s="62">
        <f t="shared" si="33"/>
        <v>0</v>
      </c>
      <c r="BL722" s="63"/>
      <c r="BM722" s="71"/>
      <c r="BN722" s="71"/>
      <c r="BO722" s="71"/>
    </row>
    <row r="723" spans="2:67" ht="18.95" customHeight="1">
      <c r="B723" s="51" t="s">
        <v>973</v>
      </c>
      <c r="C723" s="73" t="s">
        <v>74</v>
      </c>
      <c r="D723" s="53" t="s">
        <v>973</v>
      </c>
      <c r="E723" s="156"/>
      <c r="F723" s="66"/>
      <c r="G723" s="66"/>
      <c r="H723" s="66"/>
      <c r="I723" s="66"/>
      <c r="J723" s="66"/>
      <c r="K723" s="66"/>
      <c r="L723" s="66"/>
      <c r="M723" s="66"/>
      <c r="N723" s="67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8"/>
      <c r="AS723" s="66"/>
      <c r="AT723" s="66"/>
      <c r="AU723" s="66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55"/>
      <c r="BG723" s="70"/>
      <c r="BH723" s="63">
        <f t="shared" si="32"/>
        <v>0</v>
      </c>
      <c r="BI723" s="63"/>
      <c r="BJ723" s="70"/>
      <c r="BK723" s="62">
        <f t="shared" si="33"/>
        <v>0</v>
      </c>
      <c r="BL723" s="63"/>
      <c r="BM723" s="71"/>
      <c r="BN723" s="71"/>
      <c r="BO723" s="71"/>
    </row>
    <row r="724" spans="2:67" ht="18.95" customHeight="1">
      <c r="B724" s="51" t="s">
        <v>974</v>
      </c>
      <c r="C724" s="73" t="s">
        <v>74</v>
      </c>
      <c r="D724" s="53" t="s">
        <v>974</v>
      </c>
      <c r="E724" s="183"/>
      <c r="F724" s="66"/>
      <c r="G724" s="66"/>
      <c r="H724" s="66"/>
      <c r="I724" s="66"/>
      <c r="J724" s="66"/>
      <c r="K724" s="66"/>
      <c r="L724" s="66"/>
      <c r="M724" s="66"/>
      <c r="N724" s="67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8"/>
      <c r="AS724" s="66"/>
      <c r="AT724" s="66"/>
      <c r="AU724" s="66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55"/>
      <c r="BG724" s="70"/>
      <c r="BH724" s="63">
        <f t="shared" si="32"/>
        <v>0</v>
      </c>
      <c r="BI724" s="63"/>
      <c r="BJ724" s="70"/>
      <c r="BK724" s="62">
        <f t="shared" si="33"/>
        <v>0</v>
      </c>
      <c r="BL724" s="63"/>
      <c r="BM724" s="71"/>
      <c r="BN724" s="71"/>
      <c r="BO724" s="71"/>
    </row>
    <row r="725" spans="2:67" ht="18.95" customHeight="1">
      <c r="B725" s="51" t="s">
        <v>975</v>
      </c>
      <c r="C725" s="73" t="s">
        <v>74</v>
      </c>
      <c r="D725" s="53" t="s">
        <v>975</v>
      </c>
      <c r="E725" s="183"/>
      <c r="F725" s="66"/>
      <c r="G725" s="66"/>
      <c r="H725" s="66"/>
      <c r="I725" s="66"/>
      <c r="J725" s="66"/>
      <c r="K725" s="66"/>
      <c r="L725" s="66"/>
      <c r="M725" s="66"/>
      <c r="N725" s="67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8"/>
      <c r="AS725" s="66"/>
      <c r="AT725" s="66"/>
      <c r="AU725" s="66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55"/>
      <c r="BG725" s="70"/>
      <c r="BH725" s="63">
        <f t="shared" si="32"/>
        <v>0</v>
      </c>
      <c r="BI725" s="63"/>
      <c r="BJ725" s="70"/>
      <c r="BK725" s="62">
        <f t="shared" si="33"/>
        <v>0</v>
      </c>
      <c r="BL725" s="63"/>
      <c r="BM725" s="71"/>
      <c r="BN725" s="71"/>
      <c r="BO725" s="71"/>
    </row>
    <row r="726" spans="2:67" ht="18.95" customHeight="1">
      <c r="B726" s="51" t="s">
        <v>976</v>
      </c>
      <c r="C726" s="73" t="s">
        <v>74</v>
      </c>
      <c r="D726" s="53" t="s">
        <v>976</v>
      </c>
      <c r="E726" s="186"/>
      <c r="F726" s="66"/>
      <c r="G726" s="66"/>
      <c r="H726" s="66"/>
      <c r="I726" s="66"/>
      <c r="J726" s="66"/>
      <c r="K726" s="66"/>
      <c r="L726" s="66"/>
      <c r="M726" s="66"/>
      <c r="N726" s="67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8"/>
      <c r="AS726" s="66"/>
      <c r="AT726" s="66"/>
      <c r="AU726" s="66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55"/>
      <c r="BG726" s="70"/>
      <c r="BH726" s="63">
        <f t="shared" si="32"/>
        <v>0</v>
      </c>
      <c r="BI726" s="63"/>
      <c r="BJ726" s="70"/>
      <c r="BK726" s="62">
        <f t="shared" si="33"/>
        <v>0</v>
      </c>
      <c r="BL726" s="63"/>
      <c r="BM726" s="71"/>
      <c r="BN726" s="71"/>
      <c r="BO726" s="71"/>
    </row>
    <row r="727" spans="2:67" ht="18.95" customHeight="1">
      <c r="B727" s="51" t="s">
        <v>977</v>
      </c>
      <c r="C727" s="73" t="s">
        <v>74</v>
      </c>
      <c r="D727" s="53" t="s">
        <v>977</v>
      </c>
      <c r="E727" s="187"/>
      <c r="F727" s="66"/>
      <c r="G727" s="66"/>
      <c r="H727" s="66"/>
      <c r="I727" s="66"/>
      <c r="J727" s="66"/>
      <c r="K727" s="66"/>
      <c r="L727" s="66"/>
      <c r="M727" s="66"/>
      <c r="N727" s="67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8"/>
      <c r="AS727" s="66"/>
      <c r="AT727" s="66"/>
      <c r="AU727" s="66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55"/>
      <c r="BG727" s="70"/>
      <c r="BH727" s="63">
        <f t="shared" si="32"/>
        <v>0</v>
      </c>
      <c r="BI727" s="63"/>
      <c r="BJ727" s="70"/>
      <c r="BK727" s="62">
        <f t="shared" si="33"/>
        <v>0</v>
      </c>
      <c r="BL727" s="63"/>
      <c r="BM727" s="71"/>
      <c r="BN727" s="71"/>
      <c r="BO727" s="71"/>
    </row>
    <row r="728" spans="2:67" ht="18.95" customHeight="1">
      <c r="B728" s="51" t="s">
        <v>978</v>
      </c>
      <c r="C728" s="73" t="s">
        <v>74</v>
      </c>
      <c r="D728" s="53" t="s">
        <v>978</v>
      </c>
      <c r="E728" s="187"/>
      <c r="F728" s="66"/>
      <c r="G728" s="66"/>
      <c r="H728" s="66"/>
      <c r="I728" s="66"/>
      <c r="J728" s="66"/>
      <c r="K728" s="66"/>
      <c r="L728" s="66"/>
      <c r="M728" s="66"/>
      <c r="N728" s="67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8"/>
      <c r="AS728" s="66"/>
      <c r="AT728" s="66"/>
      <c r="AU728" s="66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55"/>
      <c r="BG728" s="70"/>
      <c r="BH728" s="63">
        <f t="shared" si="32"/>
        <v>0</v>
      </c>
      <c r="BI728" s="63"/>
      <c r="BJ728" s="70"/>
      <c r="BK728" s="62">
        <f t="shared" si="33"/>
        <v>0</v>
      </c>
      <c r="BL728" s="63"/>
      <c r="BM728" s="71"/>
      <c r="BN728" s="71"/>
      <c r="BO728" s="71"/>
    </row>
    <row r="729" spans="2:67" ht="18.95" customHeight="1">
      <c r="B729" s="51" t="s">
        <v>979</v>
      </c>
      <c r="C729" s="73" t="s">
        <v>74</v>
      </c>
      <c r="D729" s="53" t="s">
        <v>979</v>
      </c>
      <c r="E729" s="187"/>
      <c r="F729" s="66"/>
      <c r="G729" s="66"/>
      <c r="H729" s="66"/>
      <c r="I729" s="66"/>
      <c r="J729" s="66"/>
      <c r="K729" s="66"/>
      <c r="L729" s="66"/>
      <c r="M729" s="66"/>
      <c r="N729" s="67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8"/>
      <c r="AS729" s="66"/>
      <c r="AT729" s="66"/>
      <c r="AU729" s="66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55"/>
      <c r="BG729" s="70"/>
      <c r="BH729" s="63">
        <f t="shared" si="32"/>
        <v>0</v>
      </c>
      <c r="BI729" s="63"/>
      <c r="BJ729" s="70"/>
      <c r="BK729" s="62">
        <f t="shared" si="33"/>
        <v>0</v>
      </c>
      <c r="BL729" s="63"/>
      <c r="BM729" s="71"/>
      <c r="BN729" s="71"/>
      <c r="BO729" s="71"/>
    </row>
    <row r="730" spans="2:67" ht="18.95" customHeight="1">
      <c r="B730" s="51" t="s">
        <v>980</v>
      </c>
      <c r="C730" s="52" t="s">
        <v>74</v>
      </c>
      <c r="D730" s="53" t="s">
        <v>980</v>
      </c>
      <c r="E730" s="187"/>
      <c r="F730" s="66"/>
      <c r="G730" s="66"/>
      <c r="H730" s="66"/>
      <c r="I730" s="66"/>
      <c r="J730" s="66"/>
      <c r="K730" s="66"/>
      <c r="L730" s="66"/>
      <c r="M730" s="66"/>
      <c r="N730" s="67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8"/>
      <c r="AS730" s="66"/>
      <c r="AT730" s="66"/>
      <c r="AU730" s="66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55"/>
      <c r="BG730" s="70"/>
      <c r="BH730" s="63">
        <f t="shared" si="32"/>
        <v>0</v>
      </c>
      <c r="BI730" s="63"/>
      <c r="BJ730" s="70"/>
      <c r="BK730" s="62">
        <f t="shared" si="33"/>
        <v>0</v>
      </c>
      <c r="BL730" s="63"/>
      <c r="BM730" s="71"/>
      <c r="BN730" s="71"/>
      <c r="BO730" s="71"/>
    </row>
    <row r="731" spans="2:67" ht="18.95" customHeight="1">
      <c r="B731" s="51" t="s">
        <v>981</v>
      </c>
      <c r="C731" s="73" t="s">
        <v>74</v>
      </c>
      <c r="D731" s="53" t="s">
        <v>981</v>
      </c>
      <c r="E731" s="187"/>
      <c r="F731" s="66"/>
      <c r="G731" s="66"/>
      <c r="H731" s="66"/>
      <c r="I731" s="66"/>
      <c r="J731" s="66"/>
      <c r="K731" s="66"/>
      <c r="L731" s="66"/>
      <c r="M731" s="66"/>
      <c r="N731" s="67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8"/>
      <c r="AS731" s="66"/>
      <c r="AT731" s="66"/>
      <c r="AU731" s="66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55"/>
      <c r="BG731" s="70"/>
      <c r="BH731" s="63">
        <f t="shared" si="32"/>
        <v>0</v>
      </c>
      <c r="BI731" s="63"/>
      <c r="BJ731" s="70"/>
      <c r="BK731" s="62">
        <f t="shared" si="33"/>
        <v>0</v>
      </c>
      <c r="BL731" s="63"/>
      <c r="BM731" s="71"/>
      <c r="BN731" s="71"/>
      <c r="BO731" s="71"/>
    </row>
    <row r="732" spans="2:67" ht="18.95" customHeight="1">
      <c r="B732" s="51" t="s">
        <v>982</v>
      </c>
      <c r="C732" s="73" t="s">
        <v>74</v>
      </c>
      <c r="D732" s="53" t="s">
        <v>982</v>
      </c>
      <c r="E732" s="187"/>
      <c r="F732" s="66"/>
      <c r="G732" s="66"/>
      <c r="H732" s="66"/>
      <c r="I732" s="66"/>
      <c r="J732" s="66"/>
      <c r="K732" s="66"/>
      <c r="L732" s="66"/>
      <c r="M732" s="66"/>
      <c r="N732" s="67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8"/>
      <c r="AS732" s="66"/>
      <c r="AT732" s="66"/>
      <c r="AU732" s="66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55"/>
      <c r="BG732" s="70"/>
      <c r="BH732" s="63">
        <f t="shared" si="32"/>
        <v>0</v>
      </c>
      <c r="BI732" s="63"/>
      <c r="BJ732" s="70"/>
      <c r="BK732" s="62">
        <f t="shared" si="33"/>
        <v>0</v>
      </c>
      <c r="BL732" s="63"/>
      <c r="BM732" s="71"/>
      <c r="BN732" s="71"/>
      <c r="BO732" s="71"/>
    </row>
    <row r="733" spans="2:67" ht="18.95" customHeight="1">
      <c r="B733" s="51" t="s">
        <v>983</v>
      </c>
      <c r="C733" s="73" t="s">
        <v>74</v>
      </c>
      <c r="D733" s="53" t="s">
        <v>983</v>
      </c>
      <c r="E733" s="160"/>
      <c r="F733" s="66"/>
      <c r="G733" s="66"/>
      <c r="H733" s="66"/>
      <c r="I733" s="66"/>
      <c r="J733" s="66"/>
      <c r="K733" s="66"/>
      <c r="L733" s="66"/>
      <c r="M733" s="66"/>
      <c r="N733" s="67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8"/>
      <c r="AS733" s="66"/>
      <c r="AT733" s="66"/>
      <c r="AU733" s="66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55"/>
      <c r="BG733" s="70"/>
      <c r="BH733" s="63">
        <f t="shared" si="32"/>
        <v>0</v>
      </c>
      <c r="BI733" s="63"/>
      <c r="BJ733" s="70"/>
      <c r="BK733" s="62">
        <f t="shared" si="33"/>
        <v>0</v>
      </c>
      <c r="BL733" s="63"/>
      <c r="BM733" s="71"/>
      <c r="BN733" s="71"/>
      <c r="BO733" s="71"/>
    </row>
    <row r="734" spans="2:67" ht="18.95" customHeight="1">
      <c r="B734" s="51" t="s">
        <v>984</v>
      </c>
      <c r="C734" s="73" t="s">
        <v>74</v>
      </c>
      <c r="D734" s="53" t="s">
        <v>984</v>
      </c>
      <c r="E734" s="160"/>
      <c r="F734" s="66"/>
      <c r="G734" s="66"/>
      <c r="H734" s="66"/>
      <c r="I734" s="66"/>
      <c r="J734" s="66"/>
      <c r="K734" s="66"/>
      <c r="L734" s="66"/>
      <c r="M734" s="66"/>
      <c r="N734" s="67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8"/>
      <c r="AS734" s="66"/>
      <c r="AT734" s="66"/>
      <c r="AU734" s="66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55"/>
      <c r="BG734" s="70"/>
      <c r="BH734" s="63">
        <f t="shared" si="32"/>
        <v>0</v>
      </c>
      <c r="BI734" s="63"/>
      <c r="BJ734" s="70"/>
      <c r="BK734" s="62">
        <f t="shared" si="33"/>
        <v>0</v>
      </c>
      <c r="BL734" s="63"/>
      <c r="BM734" s="71"/>
      <c r="BN734" s="71"/>
      <c r="BO734" s="71"/>
    </row>
    <row r="735" spans="2:67" ht="18.95" customHeight="1">
      <c r="B735" s="51" t="s">
        <v>985</v>
      </c>
      <c r="C735" s="73" t="s">
        <v>74</v>
      </c>
      <c r="D735" s="53" t="s">
        <v>985</v>
      </c>
      <c r="E735" s="160"/>
      <c r="F735" s="66"/>
      <c r="G735" s="66"/>
      <c r="H735" s="66"/>
      <c r="I735" s="66"/>
      <c r="J735" s="66"/>
      <c r="K735" s="66"/>
      <c r="L735" s="66"/>
      <c r="M735" s="66"/>
      <c r="N735" s="67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8"/>
      <c r="AS735" s="66"/>
      <c r="AT735" s="66"/>
      <c r="AU735" s="66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55"/>
      <c r="BG735" s="70"/>
      <c r="BH735" s="63">
        <f t="shared" si="32"/>
        <v>0</v>
      </c>
      <c r="BI735" s="63"/>
      <c r="BJ735" s="70"/>
      <c r="BK735" s="62">
        <f t="shared" si="33"/>
        <v>0</v>
      </c>
      <c r="BL735" s="63"/>
      <c r="BM735" s="71"/>
      <c r="BN735" s="71"/>
      <c r="BO735" s="71"/>
    </row>
    <row r="736" spans="2:67" ht="18.95" customHeight="1">
      <c r="B736" s="51" t="s">
        <v>986</v>
      </c>
      <c r="C736" s="73" t="s">
        <v>74</v>
      </c>
      <c r="D736" s="53" t="s">
        <v>986</v>
      </c>
      <c r="E736" s="160"/>
      <c r="F736" s="66"/>
      <c r="G736" s="66"/>
      <c r="H736" s="66"/>
      <c r="I736" s="66"/>
      <c r="J736" s="66"/>
      <c r="K736" s="66"/>
      <c r="L736" s="66"/>
      <c r="M736" s="66"/>
      <c r="N736" s="67"/>
      <c r="O736" s="90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8"/>
      <c r="AS736" s="66"/>
      <c r="AT736" s="66"/>
      <c r="AU736" s="66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55"/>
      <c r="BG736" s="70"/>
      <c r="BH736" s="63">
        <f t="shared" si="32"/>
        <v>0</v>
      </c>
      <c r="BI736" s="63"/>
      <c r="BJ736" s="70"/>
      <c r="BK736" s="62">
        <f t="shared" si="33"/>
        <v>0</v>
      </c>
      <c r="BL736" s="63"/>
      <c r="BM736" s="71"/>
      <c r="BN736" s="71"/>
      <c r="BO736" s="71"/>
    </row>
    <row r="737" spans="2:67" ht="18.95" customHeight="1">
      <c r="B737" s="51" t="s">
        <v>987</v>
      </c>
      <c r="C737" s="73" t="s">
        <v>74</v>
      </c>
      <c r="D737" s="53" t="s">
        <v>987</v>
      </c>
      <c r="E737" s="160"/>
      <c r="F737" s="66"/>
      <c r="G737" s="66"/>
      <c r="H737" s="66"/>
      <c r="I737" s="66"/>
      <c r="J737" s="66"/>
      <c r="K737" s="66"/>
      <c r="L737" s="66"/>
      <c r="M737" s="66"/>
      <c r="N737" s="67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8"/>
      <c r="AS737" s="66"/>
      <c r="AT737" s="66"/>
      <c r="AU737" s="66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55"/>
      <c r="BG737" s="70"/>
      <c r="BH737" s="63">
        <f t="shared" si="32"/>
        <v>0</v>
      </c>
      <c r="BI737" s="63"/>
      <c r="BJ737" s="70"/>
      <c r="BK737" s="62">
        <f t="shared" si="33"/>
        <v>0</v>
      </c>
      <c r="BL737" s="63"/>
      <c r="BM737" s="71"/>
      <c r="BN737" s="71"/>
      <c r="BO737" s="71"/>
    </row>
    <row r="738" spans="2:67" ht="18.95" customHeight="1">
      <c r="B738" s="51" t="s">
        <v>988</v>
      </c>
      <c r="C738" s="73" t="s">
        <v>74</v>
      </c>
      <c r="D738" s="53" t="s">
        <v>988</v>
      </c>
      <c r="E738" s="160"/>
      <c r="F738" s="66"/>
      <c r="G738" s="66"/>
      <c r="H738" s="66"/>
      <c r="I738" s="66"/>
      <c r="J738" s="66"/>
      <c r="K738" s="66"/>
      <c r="L738" s="66"/>
      <c r="M738" s="66"/>
      <c r="N738" s="67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75"/>
      <c r="AM738" s="66"/>
      <c r="AN738" s="66"/>
      <c r="AO738" s="66"/>
      <c r="AP738" s="66"/>
      <c r="AQ738" s="66"/>
      <c r="AR738" s="68"/>
      <c r="AS738" s="66"/>
      <c r="AT738" s="66"/>
      <c r="AU738" s="66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55"/>
      <c r="BG738" s="70"/>
      <c r="BH738" s="63">
        <f t="shared" si="32"/>
        <v>0</v>
      </c>
      <c r="BI738" s="63"/>
      <c r="BJ738" s="70"/>
      <c r="BK738" s="62">
        <f t="shared" si="33"/>
        <v>0</v>
      </c>
      <c r="BL738" s="63"/>
      <c r="BM738" s="71"/>
      <c r="BN738" s="71"/>
      <c r="BO738" s="71"/>
    </row>
    <row r="739" spans="2:67" ht="18.95" customHeight="1">
      <c r="B739" s="51" t="s">
        <v>989</v>
      </c>
      <c r="C739" s="73" t="s">
        <v>74</v>
      </c>
      <c r="D739" s="53" t="s">
        <v>989</v>
      </c>
      <c r="E739" s="161"/>
      <c r="F739" s="66"/>
      <c r="G739" s="66"/>
      <c r="H739" s="66"/>
      <c r="I739" s="66"/>
      <c r="J739" s="66"/>
      <c r="K739" s="66"/>
      <c r="L739" s="66"/>
      <c r="M739" s="66"/>
      <c r="N739" s="67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75"/>
      <c r="AM739" s="66"/>
      <c r="AN739" s="66"/>
      <c r="AO739" s="66"/>
      <c r="AP739" s="66"/>
      <c r="AQ739" s="66"/>
      <c r="AR739" s="68"/>
      <c r="AS739" s="66"/>
      <c r="AT739" s="66"/>
      <c r="AU739" s="66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55"/>
      <c r="BG739" s="70"/>
      <c r="BH739" s="63">
        <f t="shared" si="32"/>
        <v>0</v>
      </c>
      <c r="BI739" s="63"/>
      <c r="BJ739" s="70"/>
      <c r="BK739" s="62">
        <f t="shared" si="33"/>
        <v>0</v>
      </c>
      <c r="BL739" s="63"/>
      <c r="BM739" s="71"/>
      <c r="BN739" s="71"/>
      <c r="BO739" s="71"/>
    </row>
    <row r="740" spans="2:67" ht="18.95" customHeight="1">
      <c r="B740" s="51" t="s">
        <v>990</v>
      </c>
      <c r="C740" s="73" t="s">
        <v>74</v>
      </c>
      <c r="D740" s="53" t="s">
        <v>990</v>
      </c>
      <c r="E740" s="161"/>
      <c r="F740" s="66"/>
      <c r="G740" s="66"/>
      <c r="H740" s="66"/>
      <c r="I740" s="66"/>
      <c r="J740" s="66"/>
      <c r="K740" s="66"/>
      <c r="L740" s="66"/>
      <c r="M740" s="66"/>
      <c r="N740" s="67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8"/>
      <c r="AS740" s="66"/>
      <c r="AT740" s="66"/>
      <c r="AU740" s="66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55"/>
      <c r="BG740" s="70"/>
      <c r="BH740" s="63">
        <f t="shared" si="32"/>
        <v>0</v>
      </c>
      <c r="BI740" s="63"/>
      <c r="BJ740" s="70"/>
      <c r="BK740" s="62">
        <f t="shared" si="33"/>
        <v>0</v>
      </c>
      <c r="BL740" s="63"/>
      <c r="BM740" s="71"/>
      <c r="BN740" s="65"/>
      <c r="BO740" s="65"/>
    </row>
    <row r="741" spans="2:67" ht="18.95" customHeight="1">
      <c r="B741" s="51" t="s">
        <v>991</v>
      </c>
      <c r="C741" s="73" t="s">
        <v>74</v>
      </c>
      <c r="D741" s="53" t="s">
        <v>991</v>
      </c>
      <c r="E741" s="188"/>
      <c r="F741" s="55"/>
      <c r="G741" s="66"/>
      <c r="H741" s="66"/>
      <c r="I741" s="66"/>
      <c r="J741" s="66"/>
      <c r="K741" s="66"/>
      <c r="L741" s="66"/>
      <c r="M741" s="66"/>
      <c r="N741" s="67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75"/>
      <c r="AM741" s="66"/>
      <c r="AN741" s="66"/>
      <c r="AO741" s="66"/>
      <c r="AP741" s="66"/>
      <c r="AQ741" s="66"/>
      <c r="AR741" s="68"/>
      <c r="AS741" s="66"/>
      <c r="AT741" s="66"/>
      <c r="AU741" s="66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55"/>
      <c r="BG741" s="70"/>
      <c r="BH741" s="63">
        <f t="shared" si="32"/>
        <v>0</v>
      </c>
      <c r="BI741" s="63"/>
      <c r="BJ741" s="70"/>
      <c r="BK741" s="62">
        <f t="shared" si="33"/>
        <v>0</v>
      </c>
      <c r="BL741" s="63"/>
      <c r="BM741" s="71"/>
      <c r="BN741" s="65"/>
      <c r="BO741" s="65"/>
    </row>
    <row r="742" spans="2:67" ht="18.95" customHeight="1">
      <c r="B742" s="51" t="s">
        <v>992</v>
      </c>
      <c r="C742" s="73" t="s">
        <v>74</v>
      </c>
      <c r="D742" s="53" t="s">
        <v>992</v>
      </c>
      <c r="E742" s="183"/>
      <c r="F742" s="66"/>
      <c r="G742" s="66"/>
      <c r="H742" s="66"/>
      <c r="I742" s="66"/>
      <c r="J742" s="66"/>
      <c r="K742" s="66"/>
      <c r="L742" s="66"/>
      <c r="M742" s="66"/>
      <c r="N742" s="67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8"/>
      <c r="AS742" s="66"/>
      <c r="AT742" s="66"/>
      <c r="AU742" s="66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55"/>
      <c r="BG742" s="70"/>
      <c r="BH742" s="63">
        <f t="shared" si="32"/>
        <v>0</v>
      </c>
      <c r="BI742" s="63"/>
      <c r="BJ742" s="70"/>
      <c r="BK742" s="62">
        <f t="shared" si="33"/>
        <v>0</v>
      </c>
      <c r="BL742" s="63"/>
      <c r="BM742" s="71"/>
      <c r="BN742" s="71"/>
      <c r="BO742" s="71"/>
    </row>
    <row r="743" spans="2:67" ht="18.95" customHeight="1">
      <c r="B743" s="51" t="s">
        <v>993</v>
      </c>
      <c r="C743" s="73" t="s">
        <v>74</v>
      </c>
      <c r="D743" s="53" t="s">
        <v>993</v>
      </c>
      <c r="E743" s="183"/>
      <c r="F743" s="55"/>
      <c r="G743" s="55"/>
      <c r="H743" s="55"/>
      <c r="I743" s="55"/>
      <c r="J743" s="55"/>
      <c r="K743" s="55"/>
      <c r="L743" s="55"/>
      <c r="M743" s="55"/>
      <c r="N743" s="56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76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70"/>
      <c r="BH743" s="63">
        <f t="shared" si="32"/>
        <v>0</v>
      </c>
      <c r="BI743" s="63"/>
      <c r="BJ743" s="70"/>
      <c r="BK743" s="62">
        <f t="shared" si="33"/>
        <v>0</v>
      </c>
      <c r="BL743" s="63"/>
      <c r="BM743" s="71"/>
      <c r="BN743" s="65"/>
      <c r="BO743" s="65"/>
    </row>
    <row r="744" spans="2:67" ht="18.95" customHeight="1">
      <c r="B744" s="51" t="s">
        <v>994</v>
      </c>
      <c r="C744" s="73" t="s">
        <v>74</v>
      </c>
      <c r="D744" s="53" t="s">
        <v>994</v>
      </c>
      <c r="E744" s="183"/>
      <c r="F744" s="163"/>
      <c r="G744" s="164"/>
      <c r="H744" s="164"/>
      <c r="I744" s="164"/>
      <c r="J744" s="164"/>
      <c r="K744" s="164"/>
      <c r="L744" s="164"/>
      <c r="M744" s="164"/>
      <c r="N744" s="165"/>
      <c r="O744" s="164"/>
      <c r="P744" s="166"/>
      <c r="Q744" s="164"/>
      <c r="R744" s="164"/>
      <c r="S744" s="164"/>
      <c r="T744" s="164"/>
      <c r="U744" s="166"/>
      <c r="V744" s="164"/>
      <c r="W744" s="164"/>
      <c r="X744" s="164"/>
      <c r="Y744" s="164"/>
      <c r="Z744" s="164"/>
      <c r="AA744" s="164"/>
      <c r="AB744" s="164"/>
      <c r="AC744" s="164"/>
      <c r="AD744" s="164"/>
      <c r="AE744" s="164"/>
      <c r="AF744" s="164"/>
      <c r="AG744" s="164"/>
      <c r="AH744" s="164"/>
      <c r="AI744" s="164"/>
      <c r="AJ744" s="164"/>
      <c r="AK744" s="164"/>
      <c r="AL744" s="167"/>
      <c r="AM744" s="164"/>
      <c r="AN744" s="164"/>
      <c r="AO744" s="164"/>
      <c r="AP744" s="164"/>
      <c r="AQ744" s="164"/>
      <c r="AR744" s="164"/>
      <c r="AS744" s="164"/>
      <c r="AT744" s="164"/>
      <c r="AU744" s="164"/>
      <c r="AV744" s="164"/>
      <c r="AW744" s="164"/>
      <c r="AX744" s="164"/>
      <c r="AY744" s="164"/>
      <c r="AZ744" s="164"/>
      <c r="BA744" s="164"/>
      <c r="BB744" s="164"/>
      <c r="BC744" s="164"/>
      <c r="BD744" s="164"/>
      <c r="BE744" s="164"/>
      <c r="BF744" s="164"/>
      <c r="BG744" s="164"/>
      <c r="BH744" s="63">
        <f t="shared" si="32"/>
        <v>0</v>
      </c>
      <c r="BI744" s="179"/>
      <c r="BJ744" s="164"/>
      <c r="BK744" s="164"/>
      <c r="BL744" s="169"/>
    </row>
    <row r="745" spans="2:67" ht="18.95" customHeight="1">
      <c r="B745" s="51" t="s">
        <v>995</v>
      </c>
      <c r="C745" s="73" t="s">
        <v>74</v>
      </c>
      <c r="D745" s="53" t="s">
        <v>995</v>
      </c>
      <c r="E745" s="170"/>
      <c r="F745" s="163"/>
      <c r="G745" s="164"/>
      <c r="H745" s="164"/>
      <c r="I745" s="164"/>
      <c r="J745" s="164"/>
      <c r="K745" s="164"/>
      <c r="L745" s="164"/>
      <c r="M745" s="164"/>
      <c r="N745" s="165"/>
      <c r="O745" s="164"/>
      <c r="P745" s="166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  <c r="AD745" s="164"/>
      <c r="AE745" s="164"/>
      <c r="AF745" s="164"/>
      <c r="AG745" s="164"/>
      <c r="AH745" s="164"/>
      <c r="AI745" s="164"/>
      <c r="AJ745" s="164"/>
      <c r="AK745" s="164"/>
      <c r="AL745" s="167"/>
      <c r="AM745" s="164"/>
      <c r="AN745" s="164"/>
      <c r="AO745" s="164"/>
      <c r="AP745" s="164"/>
      <c r="AQ745" s="164"/>
      <c r="AR745" s="164"/>
      <c r="AS745" s="164"/>
      <c r="AT745" s="164"/>
      <c r="AU745" s="164"/>
      <c r="AV745" s="164"/>
      <c r="AW745" s="164"/>
      <c r="AX745" s="164"/>
      <c r="AY745" s="164"/>
      <c r="AZ745" s="164"/>
      <c r="BA745" s="164"/>
      <c r="BB745" s="164"/>
      <c r="BC745" s="164"/>
      <c r="BD745" s="164"/>
      <c r="BE745" s="164"/>
      <c r="BF745" s="164"/>
      <c r="BG745" s="164"/>
      <c r="BH745" s="63">
        <f t="shared" si="32"/>
        <v>0</v>
      </c>
      <c r="BI745" s="179"/>
      <c r="BJ745" s="164"/>
      <c r="BK745" s="164"/>
      <c r="BL745" s="169"/>
    </row>
    <row r="746" spans="2:67" ht="18.95" customHeight="1">
      <c r="B746" s="51" t="s">
        <v>996</v>
      </c>
      <c r="C746" s="73" t="s">
        <v>74</v>
      </c>
      <c r="D746" s="53" t="s">
        <v>996</v>
      </c>
      <c r="E746" s="183"/>
      <c r="F746" s="163"/>
      <c r="G746" s="164"/>
      <c r="H746" s="164"/>
      <c r="I746" s="164"/>
      <c r="J746" s="164"/>
      <c r="K746" s="164"/>
      <c r="L746" s="164"/>
      <c r="M746" s="164"/>
      <c r="N746" s="165"/>
      <c r="O746" s="164"/>
      <c r="P746" s="166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  <c r="AD746" s="164"/>
      <c r="AE746" s="164"/>
      <c r="AF746" s="164"/>
      <c r="AG746" s="164"/>
      <c r="AH746" s="164"/>
      <c r="AI746" s="164"/>
      <c r="AJ746" s="164"/>
      <c r="AK746" s="164"/>
      <c r="AL746" s="167"/>
      <c r="AM746" s="164"/>
      <c r="AN746" s="164"/>
      <c r="AO746" s="164"/>
      <c r="AP746" s="164"/>
      <c r="AQ746" s="164"/>
      <c r="AR746" s="164"/>
      <c r="AS746" s="164"/>
      <c r="AT746" s="164"/>
      <c r="AU746" s="164"/>
      <c r="AV746" s="164"/>
      <c r="AW746" s="164"/>
      <c r="AX746" s="164"/>
      <c r="AY746" s="164"/>
      <c r="AZ746" s="164"/>
      <c r="BA746" s="164"/>
      <c r="BB746" s="164"/>
      <c r="BC746" s="164"/>
      <c r="BD746" s="164"/>
      <c r="BE746" s="164"/>
      <c r="BF746" s="164"/>
      <c r="BG746" s="164"/>
      <c r="BH746" s="63">
        <f t="shared" si="32"/>
        <v>0</v>
      </c>
      <c r="BI746" s="179"/>
      <c r="BJ746" s="164"/>
      <c r="BK746" s="164"/>
      <c r="BL746" s="169"/>
    </row>
    <row r="747" spans="2:67" ht="18.95" customHeight="1">
      <c r="B747" s="51" t="s">
        <v>997</v>
      </c>
      <c r="C747" s="73" t="s">
        <v>74</v>
      </c>
      <c r="D747" s="53" t="s">
        <v>997</v>
      </c>
      <c r="E747" s="183"/>
      <c r="F747" s="163"/>
      <c r="G747" s="164"/>
      <c r="H747" s="164"/>
      <c r="I747" s="164"/>
      <c r="J747" s="164"/>
      <c r="K747" s="164"/>
      <c r="L747" s="164"/>
      <c r="M747" s="164"/>
      <c r="N747" s="165"/>
      <c r="O747" s="164"/>
      <c r="P747" s="166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  <c r="AD747" s="164"/>
      <c r="AE747" s="164"/>
      <c r="AF747" s="164"/>
      <c r="AG747" s="164"/>
      <c r="AH747" s="164"/>
      <c r="AI747" s="164"/>
      <c r="AJ747" s="164"/>
      <c r="AK747" s="164"/>
      <c r="AL747" s="167"/>
      <c r="AM747" s="164"/>
      <c r="AN747" s="164"/>
      <c r="AO747" s="164"/>
      <c r="AP747" s="164"/>
      <c r="AQ747" s="164"/>
      <c r="AR747" s="164"/>
      <c r="AS747" s="164"/>
      <c r="AT747" s="164"/>
      <c r="AU747" s="164"/>
      <c r="AV747" s="164"/>
      <c r="AW747" s="164"/>
      <c r="AX747" s="164"/>
      <c r="AY747" s="164"/>
      <c r="AZ747" s="164"/>
      <c r="BA747" s="164"/>
      <c r="BB747" s="164"/>
      <c r="BC747" s="164"/>
      <c r="BD747" s="164"/>
      <c r="BE747" s="164"/>
      <c r="BF747" s="164"/>
      <c r="BG747" s="164"/>
      <c r="BH747" s="63">
        <f t="shared" si="32"/>
        <v>0</v>
      </c>
      <c r="BI747" s="179"/>
      <c r="BJ747" s="164"/>
      <c r="BK747" s="164"/>
      <c r="BL747" s="169"/>
    </row>
    <row r="748" spans="2:67" ht="18.95" customHeight="1">
      <c r="B748" s="51" t="s">
        <v>998</v>
      </c>
      <c r="C748" s="73" t="s">
        <v>74</v>
      </c>
      <c r="D748" s="53" t="s">
        <v>998</v>
      </c>
      <c r="E748" s="183"/>
      <c r="F748" s="163"/>
      <c r="G748" s="164"/>
      <c r="H748" s="164"/>
      <c r="I748" s="164"/>
      <c r="J748" s="164"/>
      <c r="K748" s="164"/>
      <c r="L748" s="164"/>
      <c r="M748" s="164"/>
      <c r="N748" s="165"/>
      <c r="O748" s="164"/>
      <c r="P748" s="166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  <c r="AD748" s="164"/>
      <c r="AE748" s="164"/>
      <c r="AF748" s="164"/>
      <c r="AG748" s="164"/>
      <c r="AH748" s="164"/>
      <c r="AI748" s="164"/>
      <c r="AJ748" s="164"/>
      <c r="AK748" s="164"/>
      <c r="AL748" s="167"/>
      <c r="AM748" s="164"/>
      <c r="AN748" s="164"/>
      <c r="AO748" s="164"/>
      <c r="AP748" s="164"/>
      <c r="AQ748" s="164"/>
      <c r="AR748" s="164"/>
      <c r="AS748" s="164"/>
      <c r="AT748" s="164"/>
      <c r="AU748" s="164"/>
      <c r="AV748" s="164"/>
      <c r="AW748" s="164"/>
      <c r="AX748" s="164"/>
      <c r="AY748" s="164"/>
      <c r="AZ748" s="164"/>
      <c r="BA748" s="164"/>
      <c r="BB748" s="164"/>
      <c r="BC748" s="164"/>
      <c r="BD748" s="164"/>
      <c r="BE748" s="164"/>
      <c r="BF748" s="164"/>
      <c r="BG748" s="164"/>
      <c r="BH748" s="63">
        <f t="shared" si="32"/>
        <v>0</v>
      </c>
      <c r="BI748" s="179"/>
      <c r="BJ748" s="164"/>
      <c r="BK748" s="164"/>
      <c r="BL748" s="169"/>
    </row>
    <row r="749" spans="2:67" ht="18.95" customHeight="1">
      <c r="B749" s="51" t="s">
        <v>999</v>
      </c>
      <c r="C749" s="73" t="s">
        <v>74</v>
      </c>
      <c r="D749" s="53" t="s">
        <v>999</v>
      </c>
      <c r="E749" s="183"/>
      <c r="F749" s="163"/>
      <c r="G749" s="164"/>
      <c r="H749" s="164"/>
      <c r="I749" s="164"/>
      <c r="J749" s="164"/>
      <c r="K749" s="164"/>
      <c r="L749" s="164"/>
      <c r="M749" s="164"/>
      <c r="N749" s="165"/>
      <c r="O749" s="164"/>
      <c r="P749" s="166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  <c r="AD749" s="164"/>
      <c r="AE749" s="164"/>
      <c r="AF749" s="164"/>
      <c r="AG749" s="164"/>
      <c r="AH749" s="164"/>
      <c r="AI749" s="164"/>
      <c r="AJ749" s="164"/>
      <c r="AK749" s="164"/>
      <c r="AL749" s="167"/>
      <c r="AM749" s="164"/>
      <c r="AN749" s="164"/>
      <c r="AO749" s="164"/>
      <c r="AP749" s="164"/>
      <c r="AQ749" s="164"/>
      <c r="AR749" s="164"/>
      <c r="AS749" s="164"/>
      <c r="AT749" s="164"/>
      <c r="AU749" s="164"/>
      <c r="AV749" s="164"/>
      <c r="AW749" s="164"/>
      <c r="AX749" s="164"/>
      <c r="AY749" s="164"/>
      <c r="AZ749" s="164"/>
      <c r="BA749" s="164"/>
      <c r="BB749" s="164"/>
      <c r="BC749" s="164"/>
      <c r="BD749" s="164"/>
      <c r="BE749" s="164"/>
      <c r="BF749" s="164"/>
      <c r="BG749" s="164"/>
      <c r="BH749" s="63">
        <f t="shared" si="32"/>
        <v>0</v>
      </c>
      <c r="BI749" s="179"/>
      <c r="BJ749" s="164"/>
      <c r="BK749" s="164"/>
      <c r="BL749" s="169"/>
    </row>
    <row r="750" spans="2:67" ht="18.95" customHeight="1">
      <c r="B750" s="51" t="s">
        <v>1000</v>
      </c>
      <c r="C750" s="73" t="s">
        <v>74</v>
      </c>
      <c r="D750" s="53" t="s">
        <v>1000</v>
      </c>
      <c r="E750" s="183"/>
      <c r="F750" s="163"/>
      <c r="G750" s="164"/>
      <c r="H750" s="164"/>
      <c r="I750" s="164"/>
      <c r="J750" s="164"/>
      <c r="K750" s="164"/>
      <c r="L750" s="164"/>
      <c r="M750" s="164"/>
      <c r="N750" s="165"/>
      <c r="O750" s="164"/>
      <c r="P750" s="166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  <c r="AD750" s="164"/>
      <c r="AE750" s="164"/>
      <c r="AF750" s="164"/>
      <c r="AG750" s="164"/>
      <c r="AH750" s="164"/>
      <c r="AI750" s="164"/>
      <c r="AJ750" s="164"/>
      <c r="AK750" s="164"/>
      <c r="AL750" s="167"/>
      <c r="AM750" s="164"/>
      <c r="AN750" s="164"/>
      <c r="AO750" s="164"/>
      <c r="AP750" s="164"/>
      <c r="AQ750" s="164"/>
      <c r="AR750" s="164"/>
      <c r="AS750" s="164"/>
      <c r="AT750" s="164"/>
      <c r="AU750" s="164"/>
      <c r="AV750" s="164"/>
      <c r="AW750" s="164"/>
      <c r="AX750" s="164"/>
      <c r="AY750" s="164"/>
      <c r="AZ750" s="164"/>
      <c r="BA750" s="164"/>
      <c r="BB750" s="164"/>
      <c r="BC750" s="164"/>
      <c r="BD750" s="164"/>
      <c r="BE750" s="164"/>
      <c r="BF750" s="164"/>
      <c r="BG750" s="164"/>
      <c r="BH750" s="63">
        <f t="shared" si="32"/>
        <v>0</v>
      </c>
      <c r="BI750" s="179"/>
      <c r="BJ750" s="164"/>
      <c r="BK750" s="164"/>
      <c r="BL750" s="169"/>
    </row>
    <row r="751" spans="2:67" ht="18.95" customHeight="1">
      <c r="B751" s="51" t="s">
        <v>1001</v>
      </c>
      <c r="C751" s="73" t="s">
        <v>74</v>
      </c>
      <c r="D751" s="53" t="s">
        <v>1001</v>
      </c>
      <c r="E751" s="183"/>
      <c r="F751" s="163"/>
      <c r="G751" s="164"/>
      <c r="H751" s="164"/>
      <c r="I751" s="164"/>
      <c r="J751" s="164"/>
      <c r="K751" s="164"/>
      <c r="L751" s="164"/>
      <c r="M751" s="164"/>
      <c r="N751" s="165"/>
      <c r="O751" s="164"/>
      <c r="P751" s="166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  <c r="AD751" s="164"/>
      <c r="AE751" s="164"/>
      <c r="AF751" s="164"/>
      <c r="AG751" s="164"/>
      <c r="AH751" s="164"/>
      <c r="AI751" s="164"/>
      <c r="AJ751" s="164"/>
      <c r="AK751" s="164"/>
      <c r="AL751" s="167"/>
      <c r="AM751" s="164"/>
      <c r="AN751" s="164"/>
      <c r="AO751" s="164"/>
      <c r="AP751" s="164"/>
      <c r="AQ751" s="164"/>
      <c r="AR751" s="164"/>
      <c r="AS751" s="164"/>
      <c r="AT751" s="164"/>
      <c r="AU751" s="164"/>
      <c r="AV751" s="164"/>
      <c r="AW751" s="164"/>
      <c r="AX751" s="164"/>
      <c r="AY751" s="164"/>
      <c r="AZ751" s="164"/>
      <c r="BA751" s="164"/>
      <c r="BB751" s="164"/>
      <c r="BC751" s="164"/>
      <c r="BD751" s="164"/>
      <c r="BE751" s="164"/>
      <c r="BF751" s="164"/>
      <c r="BG751" s="164"/>
      <c r="BH751" s="63">
        <f t="shared" si="32"/>
        <v>0</v>
      </c>
      <c r="BI751" s="179"/>
      <c r="BJ751" s="164"/>
      <c r="BK751" s="164"/>
      <c r="BL751" s="169"/>
    </row>
    <row r="752" spans="2:67" ht="18.95" customHeight="1">
      <c r="B752" s="51" t="s">
        <v>1002</v>
      </c>
      <c r="C752" s="73" t="s">
        <v>74</v>
      </c>
      <c r="D752" s="53" t="s">
        <v>1002</v>
      </c>
      <c r="E752" s="183"/>
      <c r="F752" s="163"/>
      <c r="G752" s="164"/>
      <c r="H752" s="164"/>
      <c r="I752" s="164"/>
      <c r="J752" s="164"/>
      <c r="K752" s="164"/>
      <c r="L752" s="164"/>
      <c r="M752" s="164"/>
      <c r="N752" s="165"/>
      <c r="O752" s="164"/>
      <c r="P752" s="166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  <c r="AD752" s="164"/>
      <c r="AE752" s="164"/>
      <c r="AF752" s="164"/>
      <c r="AG752" s="164"/>
      <c r="AH752" s="164"/>
      <c r="AI752" s="164"/>
      <c r="AJ752" s="164"/>
      <c r="AK752" s="164"/>
      <c r="AL752" s="167"/>
      <c r="AM752" s="164"/>
      <c r="AN752" s="164"/>
      <c r="AO752" s="164"/>
      <c r="AP752" s="164"/>
      <c r="AQ752" s="164"/>
      <c r="AR752" s="164"/>
      <c r="AS752" s="164"/>
      <c r="AT752" s="164"/>
      <c r="AU752" s="164"/>
      <c r="AV752" s="164"/>
      <c r="AW752" s="164"/>
      <c r="AX752" s="164"/>
      <c r="AY752" s="164"/>
      <c r="AZ752" s="164"/>
      <c r="BA752" s="164"/>
      <c r="BB752" s="164"/>
      <c r="BC752" s="164"/>
      <c r="BD752" s="164"/>
      <c r="BE752" s="164"/>
      <c r="BF752" s="164"/>
      <c r="BG752" s="164"/>
      <c r="BH752" s="63">
        <f t="shared" si="32"/>
        <v>0</v>
      </c>
      <c r="BI752" s="179"/>
      <c r="BJ752" s="164"/>
      <c r="BK752" s="164"/>
      <c r="BL752" s="169"/>
    </row>
    <row r="753" spans="2:67" ht="18.95" customHeight="1">
      <c r="B753" s="51" t="s">
        <v>1003</v>
      </c>
      <c r="C753" s="73" t="s">
        <v>74</v>
      </c>
      <c r="D753" s="53" t="s">
        <v>1003</v>
      </c>
      <c r="E753" s="183"/>
      <c r="F753" s="163"/>
      <c r="G753" s="164"/>
      <c r="H753" s="164"/>
      <c r="I753" s="164"/>
      <c r="J753" s="164"/>
      <c r="K753" s="164"/>
      <c r="L753" s="164"/>
      <c r="M753" s="164"/>
      <c r="N753" s="165"/>
      <c r="O753" s="164"/>
      <c r="P753" s="166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  <c r="AD753" s="164"/>
      <c r="AE753" s="164"/>
      <c r="AF753" s="164"/>
      <c r="AG753" s="164"/>
      <c r="AH753" s="164"/>
      <c r="AI753" s="164"/>
      <c r="AJ753" s="164"/>
      <c r="AK753" s="164"/>
      <c r="AL753" s="167"/>
      <c r="AM753" s="164"/>
      <c r="AN753" s="164"/>
      <c r="AO753" s="164"/>
      <c r="AP753" s="164"/>
      <c r="AQ753" s="164"/>
      <c r="AR753" s="164"/>
      <c r="AS753" s="164"/>
      <c r="AT753" s="164"/>
      <c r="AU753" s="164"/>
      <c r="AV753" s="164"/>
      <c r="AW753" s="164"/>
      <c r="AX753" s="164"/>
      <c r="AY753" s="164"/>
      <c r="AZ753" s="164"/>
      <c r="BA753" s="164"/>
      <c r="BB753" s="164"/>
      <c r="BC753" s="164"/>
      <c r="BD753" s="164"/>
      <c r="BE753" s="164"/>
      <c r="BF753" s="164"/>
      <c r="BG753" s="164"/>
      <c r="BH753" s="63">
        <f t="shared" si="32"/>
        <v>0</v>
      </c>
      <c r="BI753" s="179"/>
      <c r="BJ753" s="164"/>
      <c r="BK753" s="164"/>
      <c r="BL753" s="169"/>
    </row>
    <row r="754" spans="2:67" ht="18.95" customHeight="1">
      <c r="B754" s="83"/>
      <c r="C754" s="180"/>
      <c r="D754" s="83"/>
      <c r="E754" s="181"/>
      <c r="BH754" s="182"/>
    </row>
    <row r="755" spans="2:67" ht="18.95" customHeight="1">
      <c r="B755" s="83"/>
      <c r="C755" s="180"/>
      <c r="D755" s="83"/>
      <c r="E755" s="181"/>
      <c r="BH755" s="182"/>
    </row>
    <row r="756" spans="2:67" ht="18.95" customHeight="1">
      <c r="B756" s="83"/>
      <c r="C756" s="180"/>
      <c r="D756" s="83"/>
      <c r="E756" s="181"/>
      <c r="BH756" s="182"/>
    </row>
    <row r="757" spans="2:67">
      <c r="B757" s="2" t="s">
        <v>1</v>
      </c>
      <c r="C757" s="2"/>
      <c r="D757" s="2"/>
      <c r="E757" s="2"/>
      <c r="F757" s="3"/>
      <c r="G757" s="4"/>
      <c r="H757" s="4"/>
      <c r="I757" s="4"/>
      <c r="J757" s="4"/>
      <c r="K757" s="4"/>
      <c r="L757" s="4"/>
      <c r="M757" s="4"/>
      <c r="N757" s="107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5"/>
      <c r="AE757" s="5"/>
      <c r="AF757" s="5"/>
      <c r="AG757" s="5"/>
      <c r="AH757" s="5"/>
      <c r="AI757" s="5"/>
      <c r="AJ757" s="5"/>
      <c r="AK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7"/>
      <c r="BI757" s="7"/>
      <c r="BJ757" s="5"/>
      <c r="BK757" s="5"/>
      <c r="BM757" s="5"/>
      <c r="BN757" s="5"/>
      <c r="BO757" s="5"/>
    </row>
    <row r="758" spans="2:67" ht="18.75" customHeight="1">
      <c r="B758" s="2"/>
      <c r="C758" s="2"/>
      <c r="D758" s="2"/>
      <c r="E758" s="2"/>
      <c r="F758" s="1" t="s">
        <v>0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9" t="s">
        <v>1004</v>
      </c>
      <c r="BG758" s="10"/>
      <c r="BH758" s="10"/>
      <c r="BI758" s="10"/>
      <c r="BJ758" s="10"/>
      <c r="BK758" s="10"/>
      <c r="BL758" s="10"/>
      <c r="BM758" s="10"/>
      <c r="BN758" s="10"/>
      <c r="BO758" s="11"/>
    </row>
    <row r="759" spans="2:67">
      <c r="B759" s="12"/>
      <c r="C759" s="12"/>
      <c r="D759" s="12"/>
      <c r="E759" s="12"/>
      <c r="F759" s="13"/>
      <c r="G759" s="14" t="s">
        <v>1005</v>
      </c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6"/>
      <c r="AM759" s="15"/>
      <c r="AN759" s="15"/>
      <c r="AO759" s="15"/>
      <c r="AP759" s="15"/>
      <c r="AQ759" s="15"/>
      <c r="AR759" s="17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8"/>
      <c r="BM759" s="15"/>
      <c r="BN759" s="15"/>
      <c r="BO759" s="15"/>
    </row>
    <row r="760" spans="2:67" ht="15">
      <c r="B760" s="19" t="s">
        <v>4</v>
      </c>
      <c r="C760" s="20" t="s">
        <v>5</v>
      </c>
      <c r="D760" s="20"/>
      <c r="E760" s="21" t="s">
        <v>6</v>
      </c>
      <c r="F760" s="110" t="s">
        <v>135</v>
      </c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/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24" t="s">
        <v>8</v>
      </c>
      <c r="BG760" s="25"/>
      <c r="BH760" s="25"/>
      <c r="BI760" s="26"/>
      <c r="BJ760" s="31" t="s">
        <v>9</v>
      </c>
      <c r="BK760" s="32"/>
      <c r="BL760" s="29"/>
      <c r="BM760" s="30"/>
      <c r="BN760" s="31" t="s">
        <v>10</v>
      </c>
      <c r="BO760" s="32"/>
    </row>
    <row r="761" spans="2:67" ht="110.1" customHeight="1">
      <c r="B761" s="33"/>
      <c r="C761" s="34" t="s">
        <v>11</v>
      </c>
      <c r="D761" s="35" t="s">
        <v>4</v>
      </c>
      <c r="E761" s="35" t="s">
        <v>12</v>
      </c>
      <c r="F761" s="36" t="s">
        <v>13</v>
      </c>
      <c r="G761" s="36" t="s">
        <v>14</v>
      </c>
      <c r="H761" s="36" t="s">
        <v>15</v>
      </c>
      <c r="I761" s="36" t="s">
        <v>16</v>
      </c>
      <c r="J761" s="36" t="s">
        <v>17</v>
      </c>
      <c r="K761" s="36" t="s">
        <v>18</v>
      </c>
      <c r="L761" s="36" t="s">
        <v>19</v>
      </c>
      <c r="M761" s="36" t="s">
        <v>20</v>
      </c>
      <c r="N761" s="37" t="s">
        <v>21</v>
      </c>
      <c r="O761" s="36" t="s">
        <v>22</v>
      </c>
      <c r="P761" s="36" t="s">
        <v>23</v>
      </c>
      <c r="Q761" s="36" t="s">
        <v>24</v>
      </c>
      <c r="R761" s="36" t="s">
        <v>25</v>
      </c>
      <c r="S761" s="36" t="s">
        <v>26</v>
      </c>
      <c r="T761" s="36" t="s">
        <v>27</v>
      </c>
      <c r="U761" s="36" t="s">
        <v>28</v>
      </c>
      <c r="V761" s="36" t="s">
        <v>29</v>
      </c>
      <c r="W761" s="36" t="s">
        <v>30</v>
      </c>
      <c r="X761" s="38" t="s">
        <v>31</v>
      </c>
      <c r="Y761" s="36" t="s">
        <v>32</v>
      </c>
      <c r="Z761" s="36" t="s">
        <v>33</v>
      </c>
      <c r="AA761" s="36" t="s">
        <v>34</v>
      </c>
      <c r="AB761" s="38" t="s">
        <v>35</v>
      </c>
      <c r="AC761" s="36" t="s">
        <v>36</v>
      </c>
      <c r="AD761" s="39" t="s">
        <v>37</v>
      </c>
      <c r="AE761" s="36" t="s">
        <v>38</v>
      </c>
      <c r="AF761" s="40" t="s">
        <v>39</v>
      </c>
      <c r="AG761" s="40" t="s">
        <v>40</v>
      </c>
      <c r="AH761" s="40" t="s">
        <v>41</v>
      </c>
      <c r="AI761" s="40" t="s">
        <v>42</v>
      </c>
      <c r="AJ761" s="40" t="s">
        <v>43</v>
      </c>
      <c r="AK761" s="40" t="s">
        <v>44</v>
      </c>
      <c r="AL761" s="41" t="s">
        <v>45</v>
      </c>
      <c r="AM761" s="42" t="s">
        <v>46</v>
      </c>
      <c r="AN761" s="43" t="s">
        <v>47</v>
      </c>
      <c r="AO761" s="40" t="s">
        <v>48</v>
      </c>
      <c r="AP761" s="40" t="s">
        <v>49</v>
      </c>
      <c r="AQ761" s="40" t="s">
        <v>50</v>
      </c>
      <c r="AR761" s="44" t="s">
        <v>136</v>
      </c>
      <c r="AS761" s="36" t="s">
        <v>52</v>
      </c>
      <c r="AT761" s="36" t="s">
        <v>53</v>
      </c>
      <c r="AU761" s="36" t="s">
        <v>54</v>
      </c>
      <c r="AV761" s="36" t="s">
        <v>55</v>
      </c>
      <c r="AW761" s="36" t="s">
        <v>56</v>
      </c>
      <c r="AX761" s="36" t="s">
        <v>203</v>
      </c>
      <c r="AY761" s="36" t="s">
        <v>58</v>
      </c>
      <c r="AZ761" s="38" t="s">
        <v>59</v>
      </c>
      <c r="BA761" s="36" t="s">
        <v>60</v>
      </c>
      <c r="BB761" s="36" t="s">
        <v>61</v>
      </c>
      <c r="BC761" s="39" t="s">
        <v>62</v>
      </c>
      <c r="BD761" s="36" t="s">
        <v>63</v>
      </c>
      <c r="BE761" s="36" t="s">
        <v>64</v>
      </c>
      <c r="BF761" s="45" t="s">
        <v>65</v>
      </c>
      <c r="BG761" s="45" t="s">
        <v>66</v>
      </c>
      <c r="BH761" s="45" t="s">
        <v>67</v>
      </c>
      <c r="BI761" s="45" t="s">
        <v>68</v>
      </c>
      <c r="BJ761" s="46" t="s">
        <v>69</v>
      </c>
      <c r="BK761" s="46" t="s">
        <v>70</v>
      </c>
      <c r="BL761" s="47" t="s">
        <v>71</v>
      </c>
      <c r="BM761" s="48" t="s">
        <v>72</v>
      </c>
      <c r="BN761" s="49" t="s">
        <v>69</v>
      </c>
      <c r="BO761" s="50" t="s">
        <v>70</v>
      </c>
    </row>
    <row r="762" spans="2:67" ht="18.75" customHeight="1">
      <c r="B762" s="51" t="s">
        <v>73</v>
      </c>
      <c r="C762" s="52" t="s">
        <v>1006</v>
      </c>
      <c r="D762" s="53" t="s">
        <v>73</v>
      </c>
      <c r="E762" s="158" t="s">
        <v>1007</v>
      </c>
      <c r="F762" s="55"/>
      <c r="G762" s="55"/>
      <c r="H762" s="55"/>
      <c r="I762" s="55">
        <v>1</v>
      </c>
      <c r="J762" s="55"/>
      <c r="K762" s="55"/>
      <c r="L762" s="55"/>
      <c r="M762" s="55"/>
      <c r="N762" s="56"/>
      <c r="O762" s="55"/>
      <c r="P762" s="55"/>
      <c r="Q762" s="57"/>
      <c r="R762" s="55"/>
      <c r="S762" s="58"/>
      <c r="T762" s="58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7"/>
      <c r="AF762" s="57"/>
      <c r="AG762" s="57"/>
      <c r="AH762" s="57"/>
      <c r="AI762" s="57"/>
      <c r="AJ762" s="57"/>
      <c r="AK762" s="57"/>
      <c r="AL762" s="59"/>
      <c r="AM762" s="57"/>
      <c r="AN762" s="57"/>
      <c r="AO762" s="55"/>
      <c r="AP762" s="55"/>
      <c r="AQ762" s="57"/>
      <c r="AR762" s="60"/>
      <c r="AS762" s="57"/>
      <c r="AT762" s="57"/>
      <c r="AU762" s="57"/>
      <c r="AV762" s="61"/>
      <c r="AW762" s="61"/>
      <c r="AX762" s="189">
        <v>1</v>
      </c>
      <c r="AY762" s="61"/>
      <c r="AZ762" s="61"/>
      <c r="BA762" s="61"/>
      <c r="BB762" s="61"/>
      <c r="BC762" s="61"/>
      <c r="BD762" s="61">
        <v>2</v>
      </c>
      <c r="BE762" s="61"/>
      <c r="BF762" s="55"/>
      <c r="BG762" s="62"/>
      <c r="BH762" s="63">
        <f>SUM(F762:BG762)</f>
        <v>4</v>
      </c>
      <c r="BI762" s="64">
        <v>4</v>
      </c>
      <c r="BJ762" s="62"/>
      <c r="BK762" s="62">
        <f>BH762-BI762</f>
        <v>0</v>
      </c>
      <c r="BL762" s="64"/>
      <c r="BM762" s="65"/>
      <c r="BN762" s="65"/>
      <c r="BO762" s="65"/>
    </row>
    <row r="763" spans="2:67" ht="18.75" customHeight="1">
      <c r="B763" s="51" t="s">
        <v>76</v>
      </c>
      <c r="C763" s="52" t="s">
        <v>1006</v>
      </c>
      <c r="D763" s="53" t="s">
        <v>76</v>
      </c>
      <c r="E763" s="190" t="s">
        <v>1008</v>
      </c>
      <c r="F763" s="66"/>
      <c r="G763" s="66"/>
      <c r="H763" s="66"/>
      <c r="I763" s="66"/>
      <c r="J763" s="66"/>
      <c r="K763" s="66"/>
      <c r="L763" s="66"/>
      <c r="M763" s="66"/>
      <c r="N763" s="67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8"/>
      <c r="AS763" s="66"/>
      <c r="AT763" s="66"/>
      <c r="AU763" s="66"/>
      <c r="AV763" s="69"/>
      <c r="AW763" s="69"/>
      <c r="AX763" s="69"/>
      <c r="AY763" s="69"/>
      <c r="AZ763" s="69"/>
      <c r="BA763" s="69"/>
      <c r="BB763" s="69"/>
      <c r="BC763" s="69"/>
      <c r="BD763" s="69">
        <v>1</v>
      </c>
      <c r="BE763" s="69"/>
      <c r="BF763" s="55"/>
      <c r="BG763" s="70"/>
      <c r="BH763" s="63">
        <f>SUM(F763:BG763)</f>
        <v>1</v>
      </c>
      <c r="BI763" s="63">
        <v>1</v>
      </c>
      <c r="BJ763" s="70"/>
      <c r="BK763" s="62">
        <f t="shared" ref="BK763:BK781" si="34">BH763-BI763</f>
        <v>0</v>
      </c>
      <c r="BL763" s="63"/>
      <c r="BM763" s="71"/>
      <c r="BN763" s="71"/>
      <c r="BO763" s="72"/>
    </row>
    <row r="764" spans="2:67" ht="18.95" customHeight="1">
      <c r="B764" s="51" t="s">
        <v>78</v>
      </c>
      <c r="C764" s="52" t="s">
        <v>1006</v>
      </c>
      <c r="D764" s="53" t="s">
        <v>78</v>
      </c>
      <c r="E764" s="190" t="s">
        <v>1009</v>
      </c>
      <c r="F764" s="66"/>
      <c r="G764" s="66"/>
      <c r="H764" s="66"/>
      <c r="I764" s="66"/>
      <c r="J764" s="66"/>
      <c r="K764" s="66"/>
      <c r="L764" s="66"/>
      <c r="M764" s="66"/>
      <c r="N764" s="67"/>
      <c r="O764" s="66">
        <v>1</v>
      </c>
      <c r="P764" s="66">
        <v>1</v>
      </c>
      <c r="Q764" s="66"/>
      <c r="R764" s="66"/>
      <c r="S764" s="66"/>
      <c r="T764" s="66"/>
      <c r="U764" s="66"/>
      <c r="V764" s="66"/>
      <c r="W764" s="66">
        <v>1</v>
      </c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>
        <v>1</v>
      </c>
      <c r="AK764" s="66"/>
      <c r="AL764" s="66"/>
      <c r="AM764" s="66"/>
      <c r="AN764" s="66"/>
      <c r="AO764" s="66"/>
      <c r="AP764" s="66"/>
      <c r="AQ764" s="66"/>
      <c r="AR764" s="68"/>
      <c r="AS764" s="66"/>
      <c r="AT764" s="66"/>
      <c r="AU764" s="66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55"/>
      <c r="BG764" s="70"/>
      <c r="BH764" s="63">
        <f>SUM(F764:BG764)</f>
        <v>4</v>
      </c>
      <c r="BI764" s="63">
        <v>4</v>
      </c>
      <c r="BJ764" s="70"/>
      <c r="BK764" s="62">
        <f t="shared" si="34"/>
        <v>0</v>
      </c>
      <c r="BL764" s="63"/>
      <c r="BM764" s="71"/>
      <c r="BN764" s="72"/>
      <c r="BO764" s="71"/>
    </row>
    <row r="765" spans="2:67" ht="18.75" customHeight="1">
      <c r="B765" s="51" t="s">
        <v>80</v>
      </c>
      <c r="C765" s="52" t="s">
        <v>1006</v>
      </c>
      <c r="D765" s="53" t="s">
        <v>80</v>
      </c>
      <c r="E765" s="190" t="s">
        <v>1010</v>
      </c>
      <c r="F765" s="66">
        <v>1</v>
      </c>
      <c r="G765" s="66">
        <v>1</v>
      </c>
      <c r="H765" s="66">
        <v>1</v>
      </c>
      <c r="I765" s="66">
        <v>1</v>
      </c>
      <c r="J765" s="66">
        <v>1</v>
      </c>
      <c r="K765" s="66">
        <v>1</v>
      </c>
      <c r="L765" s="66">
        <v>1</v>
      </c>
      <c r="M765" s="66">
        <v>1</v>
      </c>
      <c r="N765" s="67">
        <v>1</v>
      </c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  <c r="AO765" s="66"/>
      <c r="AP765" s="66"/>
      <c r="AQ765" s="66">
        <v>1</v>
      </c>
      <c r="AR765" s="68"/>
      <c r="AS765" s="66"/>
      <c r="AT765" s="66"/>
      <c r="AU765" s="66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55"/>
      <c r="BG765" s="70"/>
      <c r="BH765" s="63">
        <v>10</v>
      </c>
      <c r="BI765" s="63">
        <v>10</v>
      </c>
      <c r="BJ765" s="70"/>
      <c r="BK765" s="62">
        <f t="shared" si="34"/>
        <v>0</v>
      </c>
      <c r="BL765" s="63"/>
      <c r="BM765" s="71"/>
      <c r="BN765" s="71"/>
      <c r="BO765" s="71"/>
    </row>
    <row r="766" spans="2:67" ht="18.95" customHeight="1">
      <c r="B766" s="51" t="s">
        <v>82</v>
      </c>
      <c r="C766" s="52" t="s">
        <v>1006</v>
      </c>
      <c r="D766" s="53" t="s">
        <v>82</v>
      </c>
      <c r="E766" s="190" t="s">
        <v>1011</v>
      </c>
      <c r="F766" s="66"/>
      <c r="G766" s="66"/>
      <c r="H766" s="66"/>
      <c r="I766" s="66"/>
      <c r="J766" s="66"/>
      <c r="K766" s="66"/>
      <c r="L766" s="66"/>
      <c r="M766" s="66"/>
      <c r="N766" s="67"/>
      <c r="O766" s="66"/>
      <c r="P766" s="66"/>
      <c r="Q766" s="66"/>
      <c r="R766" s="66"/>
      <c r="S766" s="66"/>
      <c r="T766" s="66">
        <v>1</v>
      </c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8"/>
      <c r="AS766" s="66"/>
      <c r="AT766" s="66"/>
      <c r="AU766" s="66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55"/>
      <c r="BG766" s="70"/>
      <c r="BH766" s="63">
        <f t="shared" ref="BH766:BH781" si="35">SUM(F766:BG766)</f>
        <v>1</v>
      </c>
      <c r="BI766" s="63">
        <v>2</v>
      </c>
      <c r="BJ766" s="70"/>
      <c r="BK766" s="62">
        <f t="shared" si="34"/>
        <v>-1</v>
      </c>
      <c r="BL766" s="63"/>
      <c r="BM766" s="71"/>
      <c r="BN766" s="71"/>
      <c r="BO766" s="71"/>
    </row>
    <row r="767" spans="2:67" ht="18.95" customHeight="1">
      <c r="B767" s="51" t="s">
        <v>84</v>
      </c>
      <c r="C767" s="52" t="s">
        <v>1006</v>
      </c>
      <c r="D767" s="53" t="s">
        <v>84</v>
      </c>
      <c r="E767" s="190" t="s">
        <v>1012</v>
      </c>
      <c r="F767" s="66"/>
      <c r="G767" s="66"/>
      <c r="H767" s="66"/>
      <c r="I767" s="66"/>
      <c r="J767" s="66"/>
      <c r="K767" s="66"/>
      <c r="L767" s="66"/>
      <c r="M767" s="66"/>
      <c r="N767" s="67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8"/>
      <c r="AS767" s="66"/>
      <c r="AT767" s="66"/>
      <c r="AU767" s="66"/>
      <c r="AV767" s="69"/>
      <c r="AW767" s="69">
        <v>1</v>
      </c>
      <c r="AX767" s="69"/>
      <c r="AY767" s="69"/>
      <c r="AZ767" s="69"/>
      <c r="BA767" s="69"/>
      <c r="BB767" s="69"/>
      <c r="BC767" s="69"/>
      <c r="BD767" s="69"/>
      <c r="BE767" s="69"/>
      <c r="BF767" s="55"/>
      <c r="BG767" s="70"/>
      <c r="BH767" s="63">
        <f t="shared" si="35"/>
        <v>1</v>
      </c>
      <c r="BI767" s="63">
        <v>1</v>
      </c>
      <c r="BJ767" s="70"/>
      <c r="BK767" s="62">
        <f t="shared" si="34"/>
        <v>0</v>
      </c>
      <c r="BL767" s="63"/>
      <c r="BM767" s="71"/>
      <c r="BN767" s="71"/>
      <c r="BO767" s="71"/>
    </row>
    <row r="768" spans="2:67" ht="18.95" customHeight="1">
      <c r="B768" s="51" t="s">
        <v>86</v>
      </c>
      <c r="C768" s="52" t="s">
        <v>1006</v>
      </c>
      <c r="D768" s="53" t="s">
        <v>86</v>
      </c>
      <c r="E768" s="190" t="s">
        <v>1013</v>
      </c>
      <c r="F768" s="66"/>
      <c r="G768" s="66"/>
      <c r="H768" s="66"/>
      <c r="I768" s="66"/>
      <c r="J768" s="66"/>
      <c r="K768" s="66"/>
      <c r="L768" s="66"/>
      <c r="M768" s="66"/>
      <c r="N768" s="67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  <c r="AO768" s="66"/>
      <c r="AP768" s="66">
        <v>1</v>
      </c>
      <c r="AQ768" s="66"/>
      <c r="AR768" s="68"/>
      <c r="AS768" s="66"/>
      <c r="AT768" s="66"/>
      <c r="AU768" s="66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55"/>
      <c r="BG768" s="70"/>
      <c r="BH768" s="63">
        <f t="shared" si="35"/>
        <v>1</v>
      </c>
      <c r="BI768" s="63">
        <v>1</v>
      </c>
      <c r="BJ768" s="70"/>
      <c r="BK768" s="62">
        <f t="shared" si="34"/>
        <v>0</v>
      </c>
      <c r="BL768" s="63"/>
      <c r="BM768" s="71"/>
      <c r="BN768" s="71"/>
      <c r="BO768" s="71"/>
    </row>
    <row r="769" spans="2:67" ht="18.95" customHeight="1">
      <c r="B769" s="51" t="s">
        <v>88</v>
      </c>
      <c r="C769" s="52" t="s">
        <v>1006</v>
      </c>
      <c r="D769" s="53" t="s">
        <v>88</v>
      </c>
      <c r="E769" s="158" t="s">
        <v>1014</v>
      </c>
      <c r="F769" s="66"/>
      <c r="G769" s="66"/>
      <c r="H769" s="66"/>
      <c r="I769" s="66"/>
      <c r="J769" s="66"/>
      <c r="K769" s="66"/>
      <c r="L769" s="66"/>
      <c r="M769" s="66"/>
      <c r="N769" s="67"/>
      <c r="O769" s="66"/>
      <c r="P769" s="66"/>
      <c r="Q769" s="66"/>
      <c r="R769" s="66"/>
      <c r="S769" s="66">
        <v>2</v>
      </c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8"/>
      <c r="AS769" s="66"/>
      <c r="AT769" s="66"/>
      <c r="AU769" s="66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55"/>
      <c r="BG769" s="70"/>
      <c r="BH769" s="63">
        <f t="shared" si="35"/>
        <v>2</v>
      </c>
      <c r="BI769" s="63">
        <v>2</v>
      </c>
      <c r="BJ769" s="70"/>
      <c r="BK769" s="62">
        <f t="shared" si="34"/>
        <v>0</v>
      </c>
      <c r="BL769" s="63"/>
      <c r="BM769" s="71"/>
      <c r="BN769" s="71"/>
      <c r="BO769" s="71"/>
    </row>
    <row r="770" spans="2:67" ht="18.95" customHeight="1">
      <c r="B770" s="51" t="s">
        <v>90</v>
      </c>
      <c r="C770" s="52" t="s">
        <v>1006</v>
      </c>
      <c r="D770" s="53" t="s">
        <v>90</v>
      </c>
      <c r="E770" s="158" t="s">
        <v>1015</v>
      </c>
      <c r="F770" s="66"/>
      <c r="G770" s="66"/>
      <c r="H770" s="66"/>
      <c r="I770" s="66"/>
      <c r="J770" s="66"/>
      <c r="K770" s="66"/>
      <c r="L770" s="66"/>
      <c r="M770" s="66"/>
      <c r="N770" s="67"/>
      <c r="O770" s="66"/>
      <c r="P770" s="66"/>
      <c r="Q770" s="66"/>
      <c r="R770" s="66">
        <v>1</v>
      </c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8"/>
      <c r="AS770" s="66"/>
      <c r="AT770" s="66"/>
      <c r="AU770" s="66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55"/>
      <c r="BG770" s="70"/>
      <c r="BH770" s="63">
        <f t="shared" si="35"/>
        <v>1</v>
      </c>
      <c r="BI770" s="63">
        <v>1</v>
      </c>
      <c r="BJ770" s="70"/>
      <c r="BK770" s="62">
        <f t="shared" si="34"/>
        <v>0</v>
      </c>
      <c r="BL770" s="63"/>
      <c r="BM770" s="71"/>
      <c r="BN770" s="71"/>
      <c r="BO770" s="71"/>
    </row>
    <row r="771" spans="2:67" ht="18.95" customHeight="1">
      <c r="B771" s="51" t="s">
        <v>92</v>
      </c>
      <c r="C771" s="52" t="s">
        <v>1006</v>
      </c>
      <c r="D771" s="53" t="s">
        <v>92</v>
      </c>
      <c r="E771" s="158" t="s">
        <v>1016</v>
      </c>
      <c r="F771" s="66"/>
      <c r="G771" s="66"/>
      <c r="H771" s="66"/>
      <c r="I771" s="66"/>
      <c r="J771" s="66"/>
      <c r="K771" s="66"/>
      <c r="L771" s="66"/>
      <c r="M771" s="66"/>
      <c r="N771" s="67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8"/>
      <c r="AS771" s="66"/>
      <c r="AT771" s="66"/>
      <c r="AU771" s="66"/>
      <c r="AV771" s="69"/>
      <c r="AW771" s="69"/>
      <c r="AX771" s="69"/>
      <c r="AY771" s="69"/>
      <c r="AZ771" s="69"/>
      <c r="BA771" s="69"/>
      <c r="BB771" s="69">
        <v>13</v>
      </c>
      <c r="BC771" s="69"/>
      <c r="BD771" s="69"/>
      <c r="BE771" s="69"/>
      <c r="BF771" s="55"/>
      <c r="BG771" s="70"/>
      <c r="BH771" s="63">
        <f t="shared" si="35"/>
        <v>13</v>
      </c>
      <c r="BI771" s="63">
        <v>13</v>
      </c>
      <c r="BJ771" s="70"/>
      <c r="BK771" s="62">
        <f t="shared" si="34"/>
        <v>0</v>
      </c>
      <c r="BL771" s="63"/>
      <c r="BM771" s="71"/>
      <c r="BN771" s="71"/>
      <c r="BO771" s="71"/>
    </row>
    <row r="772" spans="2:67" ht="18.75" customHeight="1">
      <c r="B772" s="51" t="s">
        <v>94</v>
      </c>
      <c r="C772" s="52" t="s">
        <v>1006</v>
      </c>
      <c r="D772" s="53" t="s">
        <v>94</v>
      </c>
      <c r="E772" s="158" t="s">
        <v>1017</v>
      </c>
      <c r="F772" s="66"/>
      <c r="G772" s="66"/>
      <c r="H772" s="66"/>
      <c r="I772" s="66"/>
      <c r="J772" s="66"/>
      <c r="K772" s="66"/>
      <c r="L772" s="66"/>
      <c r="M772" s="66"/>
      <c r="N772" s="67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8"/>
      <c r="AS772" s="66"/>
      <c r="AT772" s="66"/>
      <c r="AU772" s="66"/>
      <c r="AV772" s="69"/>
      <c r="AW772" s="69"/>
      <c r="AX772" s="69"/>
      <c r="AY772" s="69"/>
      <c r="AZ772" s="69"/>
      <c r="BA772" s="69"/>
      <c r="BB772" s="69">
        <v>6</v>
      </c>
      <c r="BC772" s="69"/>
      <c r="BD772" s="69"/>
      <c r="BE772" s="69"/>
      <c r="BF772" s="55"/>
      <c r="BG772" s="70"/>
      <c r="BH772" s="63">
        <f t="shared" si="35"/>
        <v>6</v>
      </c>
      <c r="BI772" s="63">
        <v>6</v>
      </c>
      <c r="BJ772" s="70"/>
      <c r="BK772" s="62">
        <f t="shared" si="34"/>
        <v>0</v>
      </c>
      <c r="BL772" s="63"/>
      <c r="BM772" s="71"/>
      <c r="BN772" s="71"/>
      <c r="BO772" s="71"/>
    </row>
    <row r="773" spans="2:67" ht="18.75" customHeight="1">
      <c r="B773" s="51" t="s">
        <v>96</v>
      </c>
      <c r="C773" s="52" t="s">
        <v>1006</v>
      </c>
      <c r="D773" s="53" t="s">
        <v>96</v>
      </c>
      <c r="E773" s="191" t="s">
        <v>1018</v>
      </c>
      <c r="F773" s="66"/>
      <c r="G773" s="66"/>
      <c r="H773" s="66"/>
      <c r="I773" s="66"/>
      <c r="J773" s="66"/>
      <c r="K773" s="66"/>
      <c r="L773" s="66"/>
      <c r="M773" s="66"/>
      <c r="N773" s="67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>
        <v>1</v>
      </c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  <c r="AO773" s="66"/>
      <c r="AP773" s="66"/>
      <c r="AQ773" s="66"/>
      <c r="AR773" s="68"/>
      <c r="AS773" s="66"/>
      <c r="AT773" s="66"/>
      <c r="AU773" s="66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55"/>
      <c r="BG773" s="70"/>
      <c r="BH773" s="63">
        <f t="shared" si="35"/>
        <v>1</v>
      </c>
      <c r="BI773" s="63">
        <v>1</v>
      </c>
      <c r="BJ773" s="70"/>
      <c r="BK773" s="62">
        <f t="shared" si="34"/>
        <v>0</v>
      </c>
      <c r="BL773" s="63"/>
      <c r="BM773" s="71"/>
      <c r="BN773" s="71"/>
      <c r="BO773" s="71"/>
    </row>
    <row r="774" spans="2:67" ht="18.75" customHeight="1">
      <c r="B774" s="51" t="s">
        <v>98</v>
      </c>
      <c r="C774" s="52" t="s">
        <v>1006</v>
      </c>
      <c r="D774" s="53" t="s">
        <v>98</v>
      </c>
      <c r="E774" s="151" t="s">
        <v>1019</v>
      </c>
      <c r="F774" s="66"/>
      <c r="G774" s="66"/>
      <c r="H774" s="66"/>
      <c r="I774" s="66"/>
      <c r="J774" s="66"/>
      <c r="K774" s="66"/>
      <c r="L774" s="66"/>
      <c r="M774" s="66"/>
      <c r="N774" s="67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8"/>
      <c r="AS774" s="66"/>
      <c r="AT774" s="66"/>
      <c r="AU774" s="66"/>
      <c r="AV774" s="69"/>
      <c r="AW774" s="69"/>
      <c r="AX774" s="69"/>
      <c r="AY774" s="69"/>
      <c r="AZ774" s="69"/>
      <c r="BA774" s="69"/>
      <c r="BB774" s="69"/>
      <c r="BC774" s="69"/>
      <c r="BD774" s="69">
        <v>1</v>
      </c>
      <c r="BE774" s="69"/>
      <c r="BF774" s="55"/>
      <c r="BG774" s="70"/>
      <c r="BH774" s="63">
        <f t="shared" si="35"/>
        <v>1</v>
      </c>
      <c r="BI774" s="63">
        <v>1</v>
      </c>
      <c r="BJ774" s="70"/>
      <c r="BK774" s="62">
        <f t="shared" si="34"/>
        <v>0</v>
      </c>
      <c r="BL774" s="63"/>
      <c r="BM774" s="71"/>
      <c r="BN774" s="71"/>
      <c r="BO774" s="71"/>
    </row>
    <row r="775" spans="2:67" ht="18.75" customHeight="1">
      <c r="B775" s="51" t="s">
        <v>100</v>
      </c>
      <c r="C775" s="52" t="s">
        <v>1006</v>
      </c>
      <c r="D775" s="53" t="s">
        <v>100</v>
      </c>
      <c r="E775" s="151" t="s">
        <v>1020</v>
      </c>
      <c r="F775" s="66"/>
      <c r="G775" s="66"/>
      <c r="H775" s="66"/>
      <c r="I775" s="66"/>
      <c r="J775" s="66"/>
      <c r="K775" s="66"/>
      <c r="L775" s="66"/>
      <c r="M775" s="66"/>
      <c r="N775" s="67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8"/>
      <c r="AS775" s="66"/>
      <c r="AT775" s="66"/>
      <c r="AU775" s="66"/>
      <c r="AV775" s="69"/>
      <c r="AW775" s="69"/>
      <c r="AX775" s="69"/>
      <c r="AY775" s="69"/>
      <c r="AZ775" s="69"/>
      <c r="BA775" s="69"/>
      <c r="BB775" s="69">
        <v>3</v>
      </c>
      <c r="BC775" s="69"/>
      <c r="BD775" s="69"/>
      <c r="BE775" s="69"/>
      <c r="BF775" s="55"/>
      <c r="BG775" s="70"/>
      <c r="BH775" s="63">
        <f t="shared" si="35"/>
        <v>3</v>
      </c>
      <c r="BI775" s="63">
        <v>5</v>
      </c>
      <c r="BJ775" s="70"/>
      <c r="BK775" s="62">
        <f t="shared" si="34"/>
        <v>-2</v>
      </c>
      <c r="BL775" s="63"/>
      <c r="BM775" s="71"/>
      <c r="BN775" s="71"/>
      <c r="BO775" s="71"/>
    </row>
    <row r="776" spans="2:67" ht="18.95" customHeight="1">
      <c r="B776" s="51" t="s">
        <v>102</v>
      </c>
      <c r="C776" s="52" t="s">
        <v>1006</v>
      </c>
      <c r="D776" s="53" t="s">
        <v>102</v>
      </c>
      <c r="E776" s="151" t="s">
        <v>1021</v>
      </c>
      <c r="F776" s="66"/>
      <c r="G776" s="66"/>
      <c r="H776" s="66"/>
      <c r="I776" s="66"/>
      <c r="J776" s="66"/>
      <c r="K776" s="66"/>
      <c r="L776" s="66"/>
      <c r="M776" s="66"/>
      <c r="N776" s="67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  <c r="AO776" s="66"/>
      <c r="AP776" s="66"/>
      <c r="AQ776" s="66"/>
      <c r="AR776" s="68"/>
      <c r="AS776" s="66"/>
      <c r="AT776" s="66"/>
      <c r="AU776" s="66"/>
      <c r="AV776" s="69"/>
      <c r="AW776" s="69"/>
      <c r="AX776" s="69"/>
      <c r="AY776" s="69"/>
      <c r="AZ776" s="69"/>
      <c r="BA776" s="69"/>
      <c r="BB776" s="69">
        <v>16</v>
      </c>
      <c r="BC776" s="69"/>
      <c r="BD776" s="69"/>
      <c r="BE776" s="69"/>
      <c r="BF776" s="55"/>
      <c r="BG776" s="70"/>
      <c r="BH776" s="63">
        <f t="shared" si="35"/>
        <v>16</v>
      </c>
      <c r="BI776" s="63">
        <v>20</v>
      </c>
      <c r="BJ776" s="70"/>
      <c r="BK776" s="62">
        <f t="shared" si="34"/>
        <v>-4</v>
      </c>
      <c r="BL776" s="63"/>
      <c r="BM776" s="71"/>
      <c r="BN776" s="71"/>
      <c r="BO776" s="71"/>
    </row>
    <row r="777" spans="2:67" ht="18.95" customHeight="1">
      <c r="B777" s="51" t="s">
        <v>104</v>
      </c>
      <c r="C777" s="52" t="s">
        <v>1006</v>
      </c>
      <c r="D777" s="53" t="s">
        <v>104</v>
      </c>
      <c r="E777" s="151" t="s">
        <v>1022</v>
      </c>
      <c r="F777" s="66"/>
      <c r="G777" s="66"/>
      <c r="H777" s="66"/>
      <c r="I777" s="66"/>
      <c r="J777" s="66"/>
      <c r="K777" s="66"/>
      <c r="L777" s="66"/>
      <c r="M777" s="66"/>
      <c r="N777" s="67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  <c r="AO777" s="66"/>
      <c r="AP777" s="66"/>
      <c r="AQ777" s="66"/>
      <c r="AR777" s="68"/>
      <c r="AS777" s="66"/>
      <c r="AT777" s="66"/>
      <c r="AU777" s="66"/>
      <c r="AV777" s="69"/>
      <c r="AW777" s="69"/>
      <c r="AX777" s="69"/>
      <c r="AY777" s="69"/>
      <c r="AZ777" s="69"/>
      <c r="BA777" s="69"/>
      <c r="BB777" s="69">
        <v>10</v>
      </c>
      <c r="BC777" s="69"/>
      <c r="BD777" s="69"/>
      <c r="BE777" s="69"/>
      <c r="BF777" s="55"/>
      <c r="BG777" s="70"/>
      <c r="BH777" s="63">
        <f t="shared" si="35"/>
        <v>10</v>
      </c>
      <c r="BI777" s="63">
        <v>13</v>
      </c>
      <c r="BJ777" s="70"/>
      <c r="BK777" s="62">
        <f t="shared" si="34"/>
        <v>-3</v>
      </c>
      <c r="BL777" s="63"/>
      <c r="BM777" s="71"/>
      <c r="BN777" s="71"/>
      <c r="BO777" s="71"/>
    </row>
    <row r="778" spans="2:67" ht="18.95" customHeight="1">
      <c r="B778" s="51" t="s">
        <v>106</v>
      </c>
      <c r="C778" s="52" t="s">
        <v>1006</v>
      </c>
      <c r="D778" s="53" t="s">
        <v>106</v>
      </c>
      <c r="E778" s="151" t="s">
        <v>1023</v>
      </c>
      <c r="F778" s="66"/>
      <c r="G778" s="66"/>
      <c r="H778" s="66"/>
      <c r="I778" s="66"/>
      <c r="J778" s="66"/>
      <c r="K778" s="66"/>
      <c r="L778" s="66"/>
      <c r="M778" s="66"/>
      <c r="N778" s="67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8"/>
      <c r="AS778" s="66"/>
      <c r="AT778" s="66"/>
      <c r="AU778" s="66"/>
      <c r="AV778" s="69"/>
      <c r="AW778" s="69"/>
      <c r="AX778" s="69"/>
      <c r="AY778" s="69"/>
      <c r="AZ778" s="69"/>
      <c r="BA778" s="69"/>
      <c r="BB778" s="69">
        <v>1</v>
      </c>
      <c r="BC778" s="69"/>
      <c r="BD778" s="69"/>
      <c r="BE778" s="69"/>
      <c r="BF778" s="55"/>
      <c r="BG778" s="70"/>
      <c r="BH778" s="63">
        <f t="shared" si="35"/>
        <v>1</v>
      </c>
      <c r="BI778" s="63">
        <v>3</v>
      </c>
      <c r="BJ778" s="70"/>
      <c r="BK778" s="62">
        <f t="shared" si="34"/>
        <v>-2</v>
      </c>
      <c r="BL778" s="63"/>
      <c r="BM778" s="71"/>
      <c r="BN778" s="71"/>
      <c r="BO778" s="71"/>
    </row>
    <row r="779" spans="2:67" ht="18.95" customHeight="1">
      <c r="B779" s="51" t="s">
        <v>108</v>
      </c>
      <c r="C779" s="52" t="s">
        <v>1006</v>
      </c>
      <c r="D779" s="53" t="s">
        <v>108</v>
      </c>
      <c r="E779" s="156" t="s">
        <v>1024</v>
      </c>
      <c r="F779" s="66"/>
      <c r="G779" s="66"/>
      <c r="H779" s="66"/>
      <c r="I779" s="66"/>
      <c r="J779" s="66"/>
      <c r="K779" s="66"/>
      <c r="L779" s="66"/>
      <c r="M779" s="66"/>
      <c r="N779" s="67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8"/>
      <c r="AS779" s="66"/>
      <c r="AT779" s="66"/>
      <c r="AU779" s="66"/>
      <c r="AV779" s="69"/>
      <c r="AW779" s="69"/>
      <c r="AX779" s="69"/>
      <c r="AY779" s="69"/>
      <c r="AZ779" s="69"/>
      <c r="BA779" s="69"/>
      <c r="BB779" s="69">
        <v>2</v>
      </c>
      <c r="BC779" s="69"/>
      <c r="BD779" s="69"/>
      <c r="BE779" s="69"/>
      <c r="BF779" s="55"/>
      <c r="BG779" s="70"/>
      <c r="BH779" s="63">
        <f t="shared" si="35"/>
        <v>2</v>
      </c>
      <c r="BI779" s="63">
        <v>2</v>
      </c>
      <c r="BJ779" s="70"/>
      <c r="BK779" s="62">
        <f t="shared" si="34"/>
        <v>0</v>
      </c>
      <c r="BL779" s="63"/>
      <c r="BM779" s="71"/>
      <c r="BN779" s="71"/>
      <c r="BO779" s="71"/>
    </row>
    <row r="780" spans="2:67" ht="18.75" customHeight="1">
      <c r="B780" s="51" t="s">
        <v>110</v>
      </c>
      <c r="C780" s="52" t="s">
        <v>1006</v>
      </c>
      <c r="D780" s="53" t="s">
        <v>110</v>
      </c>
      <c r="E780" s="156" t="s">
        <v>1025</v>
      </c>
      <c r="F780" s="66"/>
      <c r="G780" s="66"/>
      <c r="H780" s="66"/>
      <c r="I780" s="66"/>
      <c r="J780" s="66"/>
      <c r="K780" s="66"/>
      <c r="L780" s="66"/>
      <c r="M780" s="66"/>
      <c r="N780" s="67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8"/>
      <c r="AS780" s="66"/>
      <c r="AT780" s="66"/>
      <c r="AU780" s="66"/>
      <c r="AV780" s="69"/>
      <c r="AW780" s="69"/>
      <c r="AX780" s="69"/>
      <c r="AY780" s="69"/>
      <c r="AZ780" s="69"/>
      <c r="BA780" s="69"/>
      <c r="BB780" s="69">
        <v>1</v>
      </c>
      <c r="BC780" s="69"/>
      <c r="BD780" s="69"/>
      <c r="BE780" s="69"/>
      <c r="BF780" s="55"/>
      <c r="BG780" s="70"/>
      <c r="BH780" s="63">
        <f t="shared" si="35"/>
        <v>1</v>
      </c>
      <c r="BI780" s="63">
        <v>0</v>
      </c>
      <c r="BJ780" s="70"/>
      <c r="BK780" s="62">
        <f t="shared" si="34"/>
        <v>1</v>
      </c>
      <c r="BL780" s="63"/>
      <c r="BM780" s="71"/>
      <c r="BN780" s="71"/>
      <c r="BO780" s="71"/>
    </row>
    <row r="781" spans="2:67" ht="18.95" customHeight="1">
      <c r="B781" s="51" t="s">
        <v>112</v>
      </c>
      <c r="C781" s="52" t="s">
        <v>1006</v>
      </c>
      <c r="D781" s="53" t="s">
        <v>112</v>
      </c>
      <c r="E781" s="156" t="s">
        <v>1026</v>
      </c>
      <c r="F781" s="66"/>
      <c r="G781" s="66"/>
      <c r="H781" s="66"/>
      <c r="I781" s="66"/>
      <c r="J781" s="66"/>
      <c r="K781" s="66"/>
      <c r="L781" s="66"/>
      <c r="M781" s="66"/>
      <c r="N781" s="67"/>
      <c r="O781" s="66"/>
      <c r="P781" s="66"/>
      <c r="Q781" s="66"/>
      <c r="R781" s="66"/>
      <c r="S781" s="66">
        <v>1</v>
      </c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8"/>
      <c r="AS781" s="66"/>
      <c r="AT781" s="66"/>
      <c r="AU781" s="66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55">
        <v>1</v>
      </c>
      <c r="BG781" s="70"/>
      <c r="BH781" s="63">
        <f t="shared" si="35"/>
        <v>2</v>
      </c>
      <c r="BI781" s="63">
        <v>2</v>
      </c>
      <c r="BJ781" s="70"/>
      <c r="BK781" s="62">
        <f t="shared" si="34"/>
        <v>0</v>
      </c>
      <c r="BL781" s="63"/>
      <c r="BM781" s="71"/>
      <c r="BN781" s="71"/>
      <c r="BO781" s="71"/>
    </row>
    <row r="782" spans="2:67" ht="18.75" customHeight="1">
      <c r="B782" s="51" t="s">
        <v>114</v>
      </c>
      <c r="C782" s="52" t="s">
        <v>1006</v>
      </c>
      <c r="D782" s="53" t="s">
        <v>114</v>
      </c>
      <c r="E782" s="192" t="s">
        <v>1027</v>
      </c>
      <c r="F782" s="66"/>
      <c r="G782" s="66"/>
      <c r="H782" s="66"/>
      <c r="I782" s="66"/>
      <c r="J782" s="66"/>
      <c r="K782" s="66"/>
      <c r="L782" s="66"/>
      <c r="M782" s="66"/>
      <c r="N782" s="67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8"/>
      <c r="AS782" s="66"/>
      <c r="AT782" s="66"/>
      <c r="AU782" s="66"/>
      <c r="AV782" s="69"/>
      <c r="AW782" s="69"/>
      <c r="AX782" s="69"/>
      <c r="AY782" s="69"/>
      <c r="AZ782" s="69"/>
      <c r="BA782" s="69"/>
      <c r="BB782" s="69">
        <v>1</v>
      </c>
      <c r="BC782" s="69"/>
      <c r="BD782" s="69"/>
      <c r="BE782" s="69"/>
      <c r="BF782" s="55"/>
      <c r="BG782" s="70"/>
      <c r="BH782" s="63"/>
      <c r="BI782" s="63">
        <v>1</v>
      </c>
      <c r="BJ782" s="70"/>
      <c r="BK782" s="70">
        <v>0</v>
      </c>
      <c r="BL782" s="63"/>
      <c r="BM782" s="71"/>
      <c r="BN782" s="71"/>
      <c r="BO782" s="71"/>
    </row>
    <row r="783" spans="2:67" ht="18.95" customHeight="1">
      <c r="B783" s="51" t="s">
        <v>116</v>
      </c>
      <c r="C783" s="52" t="s">
        <v>1006</v>
      </c>
      <c r="D783" s="53"/>
      <c r="E783" s="192"/>
      <c r="F783" s="66"/>
      <c r="G783" s="66"/>
      <c r="H783" s="66"/>
      <c r="I783" s="66"/>
      <c r="J783" s="66"/>
      <c r="K783" s="66"/>
      <c r="L783" s="66"/>
      <c r="M783" s="66"/>
      <c r="N783" s="67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  <c r="AO783" s="66"/>
      <c r="AP783" s="66"/>
      <c r="AQ783" s="66"/>
      <c r="AR783" s="68"/>
      <c r="AS783" s="66"/>
      <c r="AT783" s="66"/>
      <c r="AU783" s="66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55"/>
      <c r="BG783" s="70"/>
      <c r="BH783" s="63"/>
      <c r="BI783" s="63"/>
      <c r="BJ783" s="70"/>
      <c r="BK783" s="70"/>
      <c r="BL783" s="63"/>
      <c r="BM783" s="71"/>
      <c r="BN783" s="71"/>
      <c r="BO783" s="71"/>
    </row>
    <row r="784" spans="2:67" ht="18.95" customHeight="1">
      <c r="B784" s="51" t="s">
        <v>118</v>
      </c>
      <c r="C784" s="52" t="s">
        <v>1006</v>
      </c>
      <c r="D784" s="53"/>
      <c r="E784" s="192"/>
      <c r="F784" s="66"/>
      <c r="G784" s="66"/>
      <c r="H784" s="66"/>
      <c r="I784" s="66"/>
      <c r="J784" s="66"/>
      <c r="K784" s="66"/>
      <c r="L784" s="66"/>
      <c r="M784" s="66"/>
      <c r="N784" s="67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8"/>
      <c r="AS784" s="66"/>
      <c r="AT784" s="66"/>
      <c r="AU784" s="66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55"/>
      <c r="BG784" s="70"/>
      <c r="BH784" s="63"/>
      <c r="BI784" s="63"/>
      <c r="BJ784" s="70"/>
      <c r="BK784" s="70"/>
      <c r="BL784" s="63"/>
      <c r="BM784" s="71"/>
      <c r="BN784" s="71"/>
      <c r="BO784" s="71"/>
    </row>
    <row r="785" spans="2:67" ht="18.95" customHeight="1">
      <c r="B785" s="51" t="s">
        <v>120</v>
      </c>
      <c r="C785" s="52" t="s">
        <v>1006</v>
      </c>
      <c r="D785" s="53"/>
      <c r="E785" s="192"/>
      <c r="F785" s="66"/>
      <c r="G785" s="66"/>
      <c r="H785" s="66"/>
      <c r="I785" s="66"/>
      <c r="J785" s="66"/>
      <c r="K785" s="66"/>
      <c r="L785" s="66"/>
      <c r="M785" s="66"/>
      <c r="N785" s="67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8"/>
      <c r="AS785" s="66"/>
      <c r="AT785" s="66"/>
      <c r="AU785" s="66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55"/>
      <c r="BG785" s="70"/>
      <c r="BH785" s="63"/>
      <c r="BI785" s="63"/>
      <c r="BJ785" s="70"/>
      <c r="BK785" s="70"/>
      <c r="BL785" s="63"/>
      <c r="BM785" s="71"/>
      <c r="BN785" s="71"/>
      <c r="BO785" s="71"/>
    </row>
    <row r="786" spans="2:67" ht="18.95" customHeight="1">
      <c r="B786" s="51" t="s">
        <v>122</v>
      </c>
      <c r="C786" s="52" t="s">
        <v>1006</v>
      </c>
      <c r="D786" s="53"/>
      <c r="E786" s="192"/>
      <c r="F786" s="66"/>
      <c r="G786" s="66"/>
      <c r="H786" s="66"/>
      <c r="I786" s="66"/>
      <c r="J786" s="66"/>
      <c r="K786" s="66"/>
      <c r="L786" s="66"/>
      <c r="M786" s="66"/>
      <c r="N786" s="67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75"/>
      <c r="AM786" s="66"/>
      <c r="AN786" s="66"/>
      <c r="AO786" s="66"/>
      <c r="AP786" s="66"/>
      <c r="AQ786" s="66"/>
      <c r="AR786" s="68"/>
      <c r="AS786" s="66"/>
      <c r="AT786" s="66"/>
      <c r="AU786" s="66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55"/>
      <c r="BG786" s="70"/>
      <c r="BH786" s="63"/>
      <c r="BI786" s="63"/>
      <c r="BJ786" s="70"/>
      <c r="BK786" s="70"/>
      <c r="BL786" s="63"/>
      <c r="BM786" s="71"/>
      <c r="BN786" s="71"/>
      <c r="BO786" s="71"/>
    </row>
    <row r="787" spans="2:67" ht="18.95" customHeight="1">
      <c r="B787" s="51" t="s">
        <v>124</v>
      </c>
      <c r="C787" s="52" t="s">
        <v>1006</v>
      </c>
      <c r="D787" s="53"/>
      <c r="E787" s="192"/>
      <c r="F787" s="66"/>
      <c r="G787" s="66"/>
      <c r="H787" s="66"/>
      <c r="I787" s="66"/>
      <c r="J787" s="66"/>
      <c r="K787" s="66"/>
      <c r="L787" s="66"/>
      <c r="M787" s="66"/>
      <c r="N787" s="67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75"/>
      <c r="AM787" s="66"/>
      <c r="AN787" s="66"/>
      <c r="AO787" s="66"/>
      <c r="AP787" s="66"/>
      <c r="AQ787" s="66"/>
      <c r="AR787" s="68"/>
      <c r="AS787" s="66"/>
      <c r="AT787" s="66"/>
      <c r="AU787" s="66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55"/>
      <c r="BG787" s="70"/>
      <c r="BH787" s="63"/>
      <c r="BI787" s="63"/>
      <c r="BJ787" s="70"/>
      <c r="BK787" s="70"/>
      <c r="BL787" s="63"/>
      <c r="BM787" s="71"/>
      <c r="BN787" s="71"/>
      <c r="BO787" s="71"/>
    </row>
    <row r="788" spans="2:67" ht="18.95" customHeight="1">
      <c r="B788" s="51" t="s">
        <v>126</v>
      </c>
      <c r="C788" s="52" t="s">
        <v>1006</v>
      </c>
      <c r="D788" s="53"/>
      <c r="E788" s="192"/>
      <c r="F788" s="66"/>
      <c r="G788" s="66"/>
      <c r="H788" s="66"/>
      <c r="I788" s="66"/>
      <c r="J788" s="66"/>
      <c r="K788" s="66"/>
      <c r="L788" s="66"/>
      <c r="M788" s="66"/>
      <c r="N788" s="67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  <c r="AO788" s="66"/>
      <c r="AP788" s="66"/>
      <c r="AQ788" s="66"/>
      <c r="AR788" s="68"/>
      <c r="AS788" s="66"/>
      <c r="AT788" s="66"/>
      <c r="AU788" s="66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55"/>
      <c r="BG788" s="70"/>
      <c r="BH788" s="63"/>
      <c r="BI788" s="63"/>
      <c r="BJ788" s="70"/>
      <c r="BK788" s="70"/>
      <c r="BL788" s="63"/>
      <c r="BM788" s="71"/>
      <c r="BN788" s="65"/>
      <c r="BO788" s="65"/>
    </row>
    <row r="789" spans="2:67" ht="18.95" customHeight="1">
      <c r="B789" s="51" t="s">
        <v>128</v>
      </c>
      <c r="C789" s="52" t="s">
        <v>1006</v>
      </c>
      <c r="D789" s="53"/>
      <c r="E789" s="192"/>
      <c r="F789" s="55"/>
      <c r="G789" s="66"/>
      <c r="H789" s="66"/>
      <c r="I789" s="66"/>
      <c r="J789" s="66"/>
      <c r="K789" s="66"/>
      <c r="L789" s="66"/>
      <c r="M789" s="66"/>
      <c r="N789" s="67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75"/>
      <c r="AM789" s="66"/>
      <c r="AN789" s="66"/>
      <c r="AO789" s="66"/>
      <c r="AP789" s="66"/>
      <c r="AQ789" s="66"/>
      <c r="AR789" s="68"/>
      <c r="AS789" s="66"/>
      <c r="AT789" s="66"/>
      <c r="AU789" s="66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55"/>
      <c r="BG789" s="70"/>
      <c r="BH789" s="63"/>
      <c r="BI789" s="63"/>
      <c r="BJ789" s="70"/>
      <c r="BK789" s="70"/>
      <c r="BL789" s="63"/>
      <c r="BM789" s="71"/>
      <c r="BN789" s="65"/>
      <c r="BO789" s="65"/>
    </row>
    <row r="790" spans="2:67" ht="18.95" customHeight="1">
      <c r="B790" s="51" t="s">
        <v>130</v>
      </c>
      <c r="C790" s="52" t="s">
        <v>1006</v>
      </c>
      <c r="D790" s="53"/>
      <c r="E790" s="153"/>
      <c r="F790" s="66"/>
      <c r="G790" s="66"/>
      <c r="H790" s="66"/>
      <c r="I790" s="66"/>
      <c r="J790" s="66"/>
      <c r="K790" s="66"/>
      <c r="L790" s="66"/>
      <c r="M790" s="66"/>
      <c r="N790" s="67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8"/>
      <c r="AS790" s="66"/>
      <c r="AT790" s="66"/>
      <c r="AU790" s="66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55"/>
      <c r="BG790" s="70"/>
      <c r="BH790" s="63"/>
      <c r="BI790" s="63"/>
      <c r="BJ790" s="70"/>
      <c r="BK790" s="70"/>
      <c r="BL790" s="63"/>
      <c r="BM790" s="71"/>
      <c r="BN790" s="71"/>
      <c r="BO790" s="71"/>
    </row>
    <row r="791" spans="2:67" ht="18.95" customHeight="1">
      <c r="B791" s="51" t="s">
        <v>132</v>
      </c>
      <c r="C791" s="52" t="s">
        <v>1006</v>
      </c>
      <c r="D791" s="53"/>
      <c r="E791" s="154"/>
      <c r="F791" s="55"/>
      <c r="G791" s="55"/>
      <c r="H791" s="55"/>
      <c r="I791" s="55"/>
      <c r="J791" s="55"/>
      <c r="K791" s="55"/>
      <c r="L791" s="55"/>
      <c r="M791" s="55"/>
      <c r="N791" s="56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76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70"/>
      <c r="BH791" s="63"/>
      <c r="BI791" s="63"/>
      <c r="BJ791" s="70"/>
      <c r="BK791" s="70"/>
      <c r="BL791" s="63"/>
      <c r="BM791" s="71"/>
      <c r="BN791" s="65"/>
      <c r="BO791" s="65"/>
    </row>
    <row r="792" spans="2:67">
      <c r="B792" s="87"/>
      <c r="C792" s="87"/>
      <c r="D792" s="87"/>
      <c r="E792" s="87"/>
    </row>
    <row r="793" spans="2:67">
      <c r="B793" s="87"/>
      <c r="C793" s="87"/>
      <c r="D793" s="87"/>
      <c r="E793" s="87"/>
    </row>
    <row r="794" spans="2:67">
      <c r="B794" s="87"/>
      <c r="C794" s="87"/>
      <c r="D794" s="87"/>
      <c r="E794" s="87"/>
    </row>
    <row r="795" spans="2:67">
      <c r="B795" s="87"/>
      <c r="C795" s="87"/>
      <c r="D795" s="87"/>
      <c r="E795" s="87"/>
    </row>
    <row r="796" spans="2:67">
      <c r="B796" s="87"/>
      <c r="C796" s="87"/>
      <c r="D796" s="87"/>
      <c r="E796" s="87"/>
    </row>
    <row r="797" spans="2:67">
      <c r="B797" s="87"/>
      <c r="C797" s="87"/>
      <c r="D797" s="87"/>
      <c r="E797" s="87"/>
    </row>
    <row r="798" spans="2:67">
      <c r="B798" s="87"/>
      <c r="C798" s="87"/>
      <c r="D798" s="87"/>
      <c r="E798" s="87"/>
    </row>
    <row r="799" spans="2:67">
      <c r="B799" s="87"/>
      <c r="C799" s="87"/>
      <c r="D799" s="87"/>
      <c r="E799" s="87"/>
    </row>
    <row r="800" spans="2:67">
      <c r="B800" s="87"/>
      <c r="C800" s="87"/>
      <c r="D800" s="87"/>
      <c r="E800" s="87"/>
    </row>
    <row r="801" spans="2:67">
      <c r="B801" s="87"/>
      <c r="C801" s="87"/>
      <c r="D801" s="87"/>
      <c r="E801" s="87"/>
    </row>
    <row r="802" spans="2:67">
      <c r="B802" s="87"/>
      <c r="C802" s="87"/>
      <c r="D802" s="87"/>
      <c r="E802" s="87"/>
    </row>
    <row r="803" spans="2:67">
      <c r="B803" s="87"/>
      <c r="C803" s="87"/>
      <c r="D803" s="87"/>
      <c r="E803" s="87"/>
    </row>
    <row r="804" spans="2:67">
      <c r="B804" s="2" t="s">
        <v>1</v>
      </c>
      <c r="C804" s="2"/>
      <c r="D804" s="2"/>
      <c r="E804" s="2"/>
      <c r="F804" s="3"/>
      <c r="G804" s="4"/>
      <c r="H804" s="4"/>
      <c r="I804" s="4"/>
      <c r="J804" s="4"/>
      <c r="K804" s="4"/>
      <c r="L804" s="4"/>
      <c r="M804" s="4"/>
      <c r="N804" s="107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5"/>
      <c r="AE804" s="5"/>
      <c r="AF804" s="5"/>
      <c r="AG804" s="5"/>
      <c r="AH804" s="5"/>
      <c r="AI804" s="5"/>
      <c r="AJ804" s="5"/>
      <c r="AK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7"/>
      <c r="BI804" s="7"/>
      <c r="BJ804" s="5"/>
      <c r="BK804" s="5"/>
      <c r="BM804" s="5"/>
      <c r="BN804" s="5"/>
      <c r="BO804" s="5"/>
    </row>
    <row r="805" spans="2:67" ht="18.75" customHeight="1">
      <c r="B805" s="2"/>
      <c r="C805" s="2"/>
      <c r="D805" s="2"/>
      <c r="E805" s="2"/>
      <c r="F805" s="1" t="s">
        <v>0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9" t="s">
        <v>1028</v>
      </c>
      <c r="BG805" s="10"/>
      <c r="BH805" s="10"/>
      <c r="BI805" s="10"/>
      <c r="BJ805" s="10"/>
      <c r="BK805" s="10"/>
      <c r="BL805" s="10"/>
      <c r="BM805" s="10"/>
      <c r="BN805" s="10"/>
      <c r="BO805" s="11"/>
    </row>
    <row r="806" spans="2:67">
      <c r="B806" s="12"/>
      <c r="C806" s="12"/>
      <c r="D806" s="12"/>
      <c r="E806" s="12"/>
      <c r="F806" s="13"/>
      <c r="G806" s="14" t="s">
        <v>1029</v>
      </c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6"/>
      <c r="AM806" s="15"/>
      <c r="AN806" s="15"/>
      <c r="AO806" s="15"/>
      <c r="AP806" s="15"/>
      <c r="AQ806" s="15"/>
      <c r="AR806" s="17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8"/>
      <c r="BM806" s="15"/>
      <c r="BN806" s="15"/>
      <c r="BO806" s="15"/>
    </row>
    <row r="807" spans="2:67" ht="15">
      <c r="B807" s="19" t="s">
        <v>4</v>
      </c>
      <c r="C807" s="20" t="s">
        <v>5</v>
      </c>
      <c r="D807" s="20"/>
      <c r="E807" s="21" t="s">
        <v>6</v>
      </c>
      <c r="F807" s="110" t="s">
        <v>135</v>
      </c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  <c r="AZ807" s="111"/>
      <c r="BA807" s="111"/>
      <c r="BB807" s="111"/>
      <c r="BC807" s="111"/>
      <c r="BD807" s="111"/>
      <c r="BE807" s="111"/>
      <c r="BF807" s="24" t="s">
        <v>8</v>
      </c>
      <c r="BG807" s="25"/>
      <c r="BH807" s="25"/>
      <c r="BI807" s="26"/>
      <c r="BJ807" s="31" t="s">
        <v>9</v>
      </c>
      <c r="BK807" s="32"/>
      <c r="BL807" s="29"/>
      <c r="BM807" s="30"/>
      <c r="BN807" s="31" t="s">
        <v>10</v>
      </c>
      <c r="BO807" s="32"/>
    </row>
    <row r="808" spans="2:67" ht="110.1" customHeight="1">
      <c r="B808" s="33"/>
      <c r="C808" s="34" t="s">
        <v>11</v>
      </c>
      <c r="D808" s="35" t="s">
        <v>4</v>
      </c>
      <c r="E808" s="35" t="s">
        <v>12</v>
      </c>
      <c r="F808" s="36" t="s">
        <v>13</v>
      </c>
      <c r="G808" s="36" t="s">
        <v>14</v>
      </c>
      <c r="H808" s="36" t="s">
        <v>15</v>
      </c>
      <c r="I808" s="36" t="s">
        <v>16</v>
      </c>
      <c r="J808" s="36" t="s">
        <v>17</v>
      </c>
      <c r="K808" s="36" t="s">
        <v>18</v>
      </c>
      <c r="L808" s="36" t="s">
        <v>19</v>
      </c>
      <c r="M808" s="36" t="s">
        <v>20</v>
      </c>
      <c r="N808" s="37" t="s">
        <v>21</v>
      </c>
      <c r="O808" s="36" t="s">
        <v>22</v>
      </c>
      <c r="P808" s="36" t="s">
        <v>23</v>
      </c>
      <c r="Q808" s="36" t="s">
        <v>24</v>
      </c>
      <c r="R808" s="36" t="s">
        <v>25</v>
      </c>
      <c r="S808" s="36" t="s">
        <v>26</v>
      </c>
      <c r="T808" s="36" t="s">
        <v>27</v>
      </c>
      <c r="U808" s="36" t="s">
        <v>28</v>
      </c>
      <c r="V808" s="36" t="s">
        <v>29</v>
      </c>
      <c r="W808" s="36" t="s">
        <v>30</v>
      </c>
      <c r="X808" s="38" t="s">
        <v>31</v>
      </c>
      <c r="Y808" s="36" t="s">
        <v>32</v>
      </c>
      <c r="Z808" s="36" t="s">
        <v>33</v>
      </c>
      <c r="AA808" s="36" t="s">
        <v>34</v>
      </c>
      <c r="AB808" s="38" t="s">
        <v>35</v>
      </c>
      <c r="AC808" s="36" t="s">
        <v>36</v>
      </c>
      <c r="AD808" s="39" t="s">
        <v>37</v>
      </c>
      <c r="AE808" s="36" t="s">
        <v>38</v>
      </c>
      <c r="AF808" s="40" t="s">
        <v>39</v>
      </c>
      <c r="AG808" s="40" t="s">
        <v>40</v>
      </c>
      <c r="AH808" s="40" t="s">
        <v>41</v>
      </c>
      <c r="AI808" s="40" t="s">
        <v>42</v>
      </c>
      <c r="AJ808" s="40" t="s">
        <v>43</v>
      </c>
      <c r="AK808" s="40" t="s">
        <v>44</v>
      </c>
      <c r="AL808" s="41" t="s">
        <v>45</v>
      </c>
      <c r="AM808" s="42" t="s">
        <v>46</v>
      </c>
      <c r="AN808" s="43" t="s">
        <v>47</v>
      </c>
      <c r="AO808" s="40" t="s">
        <v>48</v>
      </c>
      <c r="AP808" s="40" t="s">
        <v>49</v>
      </c>
      <c r="AQ808" s="40" t="s">
        <v>50</v>
      </c>
      <c r="AR808" s="44" t="s">
        <v>136</v>
      </c>
      <c r="AS808" s="36" t="s">
        <v>52</v>
      </c>
      <c r="AT808" s="36" t="s">
        <v>53</v>
      </c>
      <c r="AU808" s="36" t="s">
        <v>54</v>
      </c>
      <c r="AV808" s="36" t="s">
        <v>55</v>
      </c>
      <c r="AW808" s="36" t="s">
        <v>56</v>
      </c>
      <c r="AX808" s="36" t="s">
        <v>203</v>
      </c>
      <c r="AY808" s="36" t="s">
        <v>58</v>
      </c>
      <c r="AZ808" s="38" t="s">
        <v>59</v>
      </c>
      <c r="BA808" s="36" t="s">
        <v>60</v>
      </c>
      <c r="BB808" s="36" t="s">
        <v>61</v>
      </c>
      <c r="BC808" s="39" t="s">
        <v>62</v>
      </c>
      <c r="BD808" s="36" t="s">
        <v>63</v>
      </c>
      <c r="BE808" s="36" t="s">
        <v>64</v>
      </c>
      <c r="BF808" s="45" t="s">
        <v>65</v>
      </c>
      <c r="BG808" s="45" t="s">
        <v>66</v>
      </c>
      <c r="BH808" s="45" t="s">
        <v>67</v>
      </c>
      <c r="BI808" s="45" t="s">
        <v>68</v>
      </c>
      <c r="BJ808" s="46" t="s">
        <v>69</v>
      </c>
      <c r="BK808" s="46" t="s">
        <v>70</v>
      </c>
      <c r="BL808" s="47" t="s">
        <v>71</v>
      </c>
      <c r="BM808" s="48" t="s">
        <v>72</v>
      </c>
      <c r="BN808" s="49" t="s">
        <v>69</v>
      </c>
      <c r="BO808" s="50" t="s">
        <v>70</v>
      </c>
    </row>
    <row r="809" spans="2:67" ht="18.95" customHeight="1">
      <c r="B809" s="51" t="s">
        <v>73</v>
      </c>
      <c r="C809" s="52" t="s">
        <v>1030</v>
      </c>
      <c r="D809" s="53" t="s">
        <v>73</v>
      </c>
      <c r="E809" s="158" t="s">
        <v>1031</v>
      </c>
      <c r="F809" s="55"/>
      <c r="G809" s="55"/>
      <c r="H809" s="55"/>
      <c r="I809" s="55"/>
      <c r="J809" s="55"/>
      <c r="K809" s="55"/>
      <c r="L809" s="55"/>
      <c r="M809" s="55"/>
      <c r="N809" s="56"/>
      <c r="O809" s="55"/>
      <c r="P809" s="55"/>
      <c r="Q809" s="57"/>
      <c r="R809" s="55"/>
      <c r="S809" s="58"/>
      <c r="T809" s="58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7"/>
      <c r="AF809" s="57"/>
      <c r="AG809" s="57"/>
      <c r="AH809" s="57"/>
      <c r="AI809" s="57"/>
      <c r="AJ809" s="57"/>
      <c r="AK809" s="57"/>
      <c r="AL809" s="59"/>
      <c r="AM809" s="57"/>
      <c r="AN809" s="57"/>
      <c r="AO809" s="55"/>
      <c r="AP809" s="55"/>
      <c r="AQ809" s="57"/>
      <c r="AR809" s="60"/>
      <c r="AS809" s="57"/>
      <c r="AT809" s="57"/>
      <c r="AU809" s="57"/>
      <c r="AV809" s="61"/>
      <c r="AW809" s="61"/>
      <c r="AX809" s="193"/>
      <c r="AY809" s="61"/>
      <c r="AZ809" s="61"/>
      <c r="BA809" s="193">
        <v>1</v>
      </c>
      <c r="BB809" s="61"/>
      <c r="BC809" s="61"/>
      <c r="BD809" s="61"/>
      <c r="BE809" s="61"/>
      <c r="BF809" s="55"/>
      <c r="BG809" s="62"/>
      <c r="BH809" s="63">
        <f t="shared" ref="BH809:BH825" si="36">SUM(F809:BG809)</f>
        <v>1</v>
      </c>
      <c r="BI809" s="64">
        <v>1</v>
      </c>
      <c r="BJ809" s="62"/>
      <c r="BK809" s="62">
        <f t="shared" ref="BK809:BK825" si="37">BH809-BI809</f>
        <v>0</v>
      </c>
      <c r="BL809" s="64"/>
      <c r="BM809" s="65"/>
      <c r="BN809" s="65"/>
      <c r="BO809" s="65"/>
    </row>
    <row r="810" spans="2:67" ht="18.95" customHeight="1">
      <c r="B810" s="51" t="s">
        <v>76</v>
      </c>
      <c r="C810" s="52" t="s">
        <v>1030</v>
      </c>
      <c r="D810" s="53" t="s">
        <v>76</v>
      </c>
      <c r="E810" s="190" t="s">
        <v>1032</v>
      </c>
      <c r="F810" s="66"/>
      <c r="G810" s="66"/>
      <c r="H810" s="66"/>
      <c r="I810" s="66"/>
      <c r="J810" s="66"/>
      <c r="K810" s="66"/>
      <c r="L810" s="66"/>
      <c r="M810" s="66"/>
      <c r="N810" s="67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  <c r="AO810" s="66"/>
      <c r="AP810" s="66"/>
      <c r="AQ810" s="66"/>
      <c r="AR810" s="68"/>
      <c r="AS810" s="66"/>
      <c r="AT810" s="66"/>
      <c r="AU810" s="66"/>
      <c r="AV810" s="69"/>
      <c r="AW810" s="69"/>
      <c r="AX810" s="69"/>
      <c r="AY810" s="69"/>
      <c r="AZ810" s="69"/>
      <c r="BA810" s="69">
        <v>1</v>
      </c>
      <c r="BB810" s="69"/>
      <c r="BC810" s="69"/>
      <c r="BD810" s="69"/>
      <c r="BE810" s="69"/>
      <c r="BF810" s="55"/>
      <c r="BG810" s="70"/>
      <c r="BH810" s="63">
        <f t="shared" si="36"/>
        <v>1</v>
      </c>
      <c r="BI810" s="63">
        <v>1</v>
      </c>
      <c r="BJ810" s="70"/>
      <c r="BK810" s="62">
        <f t="shared" si="37"/>
        <v>0</v>
      </c>
      <c r="BL810" s="63"/>
      <c r="BM810" s="71"/>
      <c r="BN810" s="71"/>
      <c r="BO810" s="72"/>
    </row>
    <row r="811" spans="2:67" ht="18.95" customHeight="1">
      <c r="B811" s="51" t="s">
        <v>78</v>
      </c>
      <c r="C811" s="52" t="s">
        <v>1030</v>
      </c>
      <c r="D811" s="53" t="s">
        <v>78</v>
      </c>
      <c r="E811" s="158" t="s">
        <v>1033</v>
      </c>
      <c r="F811" s="66"/>
      <c r="G811" s="66"/>
      <c r="H811" s="66"/>
      <c r="I811" s="66"/>
      <c r="J811" s="66"/>
      <c r="K811" s="66"/>
      <c r="L811" s="66"/>
      <c r="M811" s="66"/>
      <c r="N811" s="67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8"/>
      <c r="AS811" s="66"/>
      <c r="AT811" s="66"/>
      <c r="AU811" s="66"/>
      <c r="AV811" s="69"/>
      <c r="AW811" s="69"/>
      <c r="AX811" s="69"/>
      <c r="AY811" s="69"/>
      <c r="AZ811" s="69"/>
      <c r="BA811" s="69">
        <v>1</v>
      </c>
      <c r="BB811" s="69"/>
      <c r="BC811" s="69"/>
      <c r="BD811" s="69"/>
      <c r="BE811" s="69"/>
      <c r="BF811" s="55"/>
      <c r="BG811" s="70"/>
      <c r="BH811" s="63">
        <f t="shared" si="36"/>
        <v>1</v>
      </c>
      <c r="BI811" s="63">
        <v>1</v>
      </c>
      <c r="BJ811" s="70"/>
      <c r="BK811" s="62">
        <f t="shared" si="37"/>
        <v>0</v>
      </c>
      <c r="BL811" s="63"/>
      <c r="BM811" s="71"/>
      <c r="BN811" s="72"/>
      <c r="BO811" s="71"/>
    </row>
    <row r="812" spans="2:67" ht="18.75" customHeight="1">
      <c r="B812" s="51" t="s">
        <v>80</v>
      </c>
      <c r="C812" s="52" t="s">
        <v>1030</v>
      </c>
      <c r="D812" s="53" t="s">
        <v>80</v>
      </c>
      <c r="E812" s="158" t="s">
        <v>1034</v>
      </c>
      <c r="F812" s="66"/>
      <c r="G812" s="66"/>
      <c r="H812" s="66"/>
      <c r="I812" s="66"/>
      <c r="J812" s="66"/>
      <c r="K812" s="66"/>
      <c r="L812" s="66"/>
      <c r="M812" s="66"/>
      <c r="N812" s="67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8"/>
      <c r="AS812" s="66"/>
      <c r="AT812" s="66"/>
      <c r="AU812" s="66"/>
      <c r="AV812" s="69"/>
      <c r="AW812" s="69"/>
      <c r="AX812" s="69"/>
      <c r="AY812" s="69"/>
      <c r="AZ812" s="69"/>
      <c r="BA812" s="69">
        <v>1</v>
      </c>
      <c r="BB812" s="69"/>
      <c r="BC812" s="69"/>
      <c r="BD812" s="69"/>
      <c r="BE812" s="69"/>
      <c r="BF812" s="55"/>
      <c r="BG812" s="70"/>
      <c r="BH812" s="63">
        <f t="shared" si="36"/>
        <v>1</v>
      </c>
      <c r="BI812" s="63">
        <v>1</v>
      </c>
      <c r="BJ812" s="70"/>
      <c r="BK812" s="62">
        <f t="shared" si="37"/>
        <v>0</v>
      </c>
      <c r="BL812" s="63"/>
      <c r="BM812" s="71"/>
      <c r="BN812" s="71"/>
      <c r="BO812" s="71"/>
    </row>
    <row r="813" spans="2:67" ht="18.95" customHeight="1">
      <c r="B813" s="51" t="s">
        <v>82</v>
      </c>
      <c r="C813" s="52" t="s">
        <v>1030</v>
      </c>
      <c r="D813" s="53" t="s">
        <v>82</v>
      </c>
      <c r="E813" s="158" t="s">
        <v>1035</v>
      </c>
      <c r="F813" s="66"/>
      <c r="G813" s="66"/>
      <c r="H813" s="66"/>
      <c r="I813" s="66"/>
      <c r="J813" s="66"/>
      <c r="K813" s="66"/>
      <c r="L813" s="66"/>
      <c r="M813" s="66"/>
      <c r="N813" s="67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8"/>
      <c r="AS813" s="66"/>
      <c r="AT813" s="66"/>
      <c r="AU813" s="66"/>
      <c r="AV813" s="69"/>
      <c r="AW813" s="69"/>
      <c r="AX813" s="69"/>
      <c r="AY813" s="69"/>
      <c r="AZ813" s="69">
        <v>1</v>
      </c>
      <c r="BA813" s="69"/>
      <c r="BB813" s="69"/>
      <c r="BC813" s="69"/>
      <c r="BD813" s="69"/>
      <c r="BE813" s="69"/>
      <c r="BF813" s="55"/>
      <c r="BG813" s="70"/>
      <c r="BH813" s="63">
        <f t="shared" si="36"/>
        <v>1</v>
      </c>
      <c r="BI813" s="63">
        <v>1</v>
      </c>
      <c r="BJ813" s="70"/>
      <c r="BK813" s="62">
        <f t="shared" si="37"/>
        <v>0</v>
      </c>
      <c r="BL813" s="63"/>
      <c r="BM813" s="71"/>
      <c r="BN813" s="71"/>
      <c r="BO813" s="71"/>
    </row>
    <row r="814" spans="2:67" ht="18.95" customHeight="1">
      <c r="B814" s="51" t="s">
        <v>84</v>
      </c>
      <c r="C814" s="52" t="s">
        <v>1030</v>
      </c>
      <c r="D814" s="53" t="s">
        <v>84</v>
      </c>
      <c r="E814" s="158" t="s">
        <v>1036</v>
      </c>
      <c r="F814" s="66"/>
      <c r="G814" s="66"/>
      <c r="H814" s="66"/>
      <c r="I814" s="66"/>
      <c r="J814" s="66"/>
      <c r="K814" s="66"/>
      <c r="L814" s="66"/>
      <c r="M814" s="66"/>
      <c r="N814" s="67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8"/>
      <c r="AS814" s="66"/>
      <c r="AT814" s="66"/>
      <c r="AU814" s="66"/>
      <c r="AV814" s="69"/>
      <c r="AW814" s="69"/>
      <c r="AX814" s="69"/>
      <c r="AY814" s="69"/>
      <c r="AZ814" s="69">
        <v>1</v>
      </c>
      <c r="BA814" s="69"/>
      <c r="BB814" s="69"/>
      <c r="BC814" s="69"/>
      <c r="BD814" s="69"/>
      <c r="BE814" s="69"/>
      <c r="BF814" s="55"/>
      <c r="BG814" s="70"/>
      <c r="BH814" s="63">
        <f t="shared" si="36"/>
        <v>1</v>
      </c>
      <c r="BI814" s="63">
        <v>1</v>
      </c>
      <c r="BJ814" s="70"/>
      <c r="BK814" s="62">
        <f t="shared" si="37"/>
        <v>0</v>
      </c>
      <c r="BL814" s="63"/>
      <c r="BM814" s="71"/>
      <c r="BN814" s="71"/>
      <c r="BO814" s="71"/>
    </row>
    <row r="815" spans="2:67" ht="18.95" customHeight="1">
      <c r="B815" s="51" t="s">
        <v>86</v>
      </c>
      <c r="C815" s="52" t="s">
        <v>1030</v>
      </c>
      <c r="D815" s="53" t="s">
        <v>86</v>
      </c>
      <c r="E815" s="158" t="s">
        <v>1037</v>
      </c>
      <c r="F815" s="66"/>
      <c r="G815" s="66"/>
      <c r="H815" s="66"/>
      <c r="I815" s="66"/>
      <c r="J815" s="66"/>
      <c r="K815" s="66"/>
      <c r="L815" s="66"/>
      <c r="M815" s="66"/>
      <c r="N815" s="67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8"/>
      <c r="AS815" s="66"/>
      <c r="AT815" s="66"/>
      <c r="AU815" s="66"/>
      <c r="AV815" s="69"/>
      <c r="AW815" s="69"/>
      <c r="AX815" s="69"/>
      <c r="AY815" s="69"/>
      <c r="AZ815" s="69">
        <v>1</v>
      </c>
      <c r="BA815" s="69"/>
      <c r="BB815" s="69"/>
      <c r="BC815" s="69"/>
      <c r="BD815" s="69"/>
      <c r="BE815" s="69"/>
      <c r="BF815" s="55"/>
      <c r="BG815" s="70"/>
      <c r="BH815" s="63">
        <f t="shared" si="36"/>
        <v>1</v>
      </c>
      <c r="BI815" s="63">
        <v>1</v>
      </c>
      <c r="BJ815" s="70"/>
      <c r="BK815" s="62">
        <f t="shared" si="37"/>
        <v>0</v>
      </c>
      <c r="BL815" s="63"/>
      <c r="BM815" s="71"/>
      <c r="BN815" s="71"/>
      <c r="BO815" s="71"/>
    </row>
    <row r="816" spans="2:67" ht="18.95" customHeight="1">
      <c r="B816" s="51" t="s">
        <v>88</v>
      </c>
      <c r="C816" s="52" t="s">
        <v>1030</v>
      </c>
      <c r="D816" s="53" t="s">
        <v>88</v>
      </c>
      <c r="E816" s="158" t="s">
        <v>1038</v>
      </c>
      <c r="F816" s="66"/>
      <c r="G816" s="66"/>
      <c r="H816" s="66"/>
      <c r="I816" s="66"/>
      <c r="J816" s="66"/>
      <c r="K816" s="66"/>
      <c r="L816" s="66"/>
      <c r="M816" s="66"/>
      <c r="N816" s="67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8"/>
      <c r="AS816" s="66"/>
      <c r="AT816" s="66"/>
      <c r="AU816" s="66"/>
      <c r="AV816" s="69"/>
      <c r="AW816" s="69"/>
      <c r="AX816" s="69"/>
      <c r="AY816" s="69"/>
      <c r="AZ816" s="69"/>
      <c r="BA816" s="69">
        <v>1</v>
      </c>
      <c r="BB816" s="69"/>
      <c r="BC816" s="69"/>
      <c r="BD816" s="69"/>
      <c r="BE816" s="69"/>
      <c r="BF816" s="55"/>
      <c r="BG816" s="70"/>
      <c r="BH816" s="63">
        <f t="shared" si="36"/>
        <v>1</v>
      </c>
      <c r="BI816" s="63">
        <v>1</v>
      </c>
      <c r="BJ816" s="70"/>
      <c r="BK816" s="62">
        <f t="shared" si="37"/>
        <v>0</v>
      </c>
      <c r="BL816" s="63"/>
      <c r="BM816" s="71"/>
      <c r="BN816" s="71"/>
      <c r="BO816" s="71"/>
    </row>
    <row r="817" spans="2:67" ht="18.75" customHeight="1">
      <c r="B817" s="51" t="s">
        <v>90</v>
      </c>
      <c r="C817" s="52" t="s">
        <v>1030</v>
      </c>
      <c r="D817" s="53" t="s">
        <v>90</v>
      </c>
      <c r="E817" s="194" t="s">
        <v>1039</v>
      </c>
      <c r="F817" s="66"/>
      <c r="G817" s="66"/>
      <c r="H817" s="66"/>
      <c r="I817" s="66"/>
      <c r="J817" s="66"/>
      <c r="K817" s="66"/>
      <c r="L817" s="66"/>
      <c r="M817" s="66"/>
      <c r="N817" s="67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8"/>
      <c r="AS817" s="66"/>
      <c r="AT817" s="66"/>
      <c r="AU817" s="66"/>
      <c r="AV817" s="69"/>
      <c r="AW817" s="69"/>
      <c r="AX817" s="69"/>
      <c r="AY817" s="69"/>
      <c r="AZ817" s="69">
        <v>1</v>
      </c>
      <c r="BA817" s="69"/>
      <c r="BB817" s="69"/>
      <c r="BC817" s="69"/>
      <c r="BD817" s="69"/>
      <c r="BE817" s="69"/>
      <c r="BF817" s="55"/>
      <c r="BG817" s="70"/>
      <c r="BH817" s="63">
        <f t="shared" si="36"/>
        <v>1</v>
      </c>
      <c r="BI817" s="63">
        <v>1</v>
      </c>
      <c r="BJ817" s="70"/>
      <c r="BK817" s="62">
        <f t="shared" si="37"/>
        <v>0</v>
      </c>
      <c r="BL817" s="63"/>
      <c r="BM817" s="71"/>
      <c r="BN817" s="71"/>
      <c r="BO817" s="71"/>
    </row>
    <row r="818" spans="2:67" ht="18.75" customHeight="1">
      <c r="B818" s="51" t="s">
        <v>92</v>
      </c>
      <c r="C818" s="52" t="s">
        <v>1030</v>
      </c>
      <c r="D818" s="53" t="s">
        <v>92</v>
      </c>
      <c r="E818" s="194" t="s">
        <v>1040</v>
      </c>
      <c r="F818" s="66"/>
      <c r="G818" s="66"/>
      <c r="H818" s="66"/>
      <c r="I818" s="66"/>
      <c r="J818" s="66"/>
      <c r="K818" s="66"/>
      <c r="L818" s="66"/>
      <c r="M818" s="66"/>
      <c r="N818" s="67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8"/>
      <c r="AS818" s="66"/>
      <c r="AT818" s="66"/>
      <c r="AU818" s="66"/>
      <c r="AV818" s="69"/>
      <c r="AW818" s="69"/>
      <c r="AX818" s="69"/>
      <c r="AY818" s="69"/>
      <c r="AZ818" s="69">
        <v>1</v>
      </c>
      <c r="BA818" s="69"/>
      <c r="BB818" s="69"/>
      <c r="BC818" s="69"/>
      <c r="BD818" s="69"/>
      <c r="BE818" s="69"/>
      <c r="BF818" s="55"/>
      <c r="BG818" s="70"/>
      <c r="BH818" s="63">
        <f t="shared" si="36"/>
        <v>1</v>
      </c>
      <c r="BI818" s="63">
        <v>1</v>
      </c>
      <c r="BJ818" s="70"/>
      <c r="BK818" s="62">
        <f t="shared" si="37"/>
        <v>0</v>
      </c>
      <c r="BL818" s="63"/>
      <c r="BM818" s="71"/>
      <c r="BN818" s="71"/>
      <c r="BO818" s="71"/>
    </row>
    <row r="819" spans="2:67" ht="18.75" customHeight="1">
      <c r="B819" s="51" t="s">
        <v>94</v>
      </c>
      <c r="C819" s="52" t="s">
        <v>1030</v>
      </c>
      <c r="D819" s="53" t="s">
        <v>94</v>
      </c>
      <c r="E819" s="194" t="s">
        <v>1041</v>
      </c>
      <c r="F819" s="66"/>
      <c r="G819" s="66"/>
      <c r="H819" s="66"/>
      <c r="I819" s="66"/>
      <c r="J819" s="66"/>
      <c r="K819" s="66"/>
      <c r="L819" s="66"/>
      <c r="M819" s="66"/>
      <c r="N819" s="67"/>
      <c r="O819" s="66"/>
      <c r="P819" s="66"/>
      <c r="Q819" s="66"/>
      <c r="R819" s="66">
        <v>2</v>
      </c>
      <c r="S819" s="66">
        <v>2</v>
      </c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  <c r="AO819" s="66"/>
      <c r="AP819" s="66"/>
      <c r="AQ819" s="66"/>
      <c r="AR819" s="68"/>
      <c r="AS819" s="66"/>
      <c r="AT819" s="66"/>
      <c r="AU819" s="66"/>
      <c r="AV819" s="69"/>
      <c r="AW819" s="69"/>
      <c r="AX819" s="69"/>
      <c r="AY819" s="69"/>
      <c r="AZ819" s="69"/>
      <c r="BA819" s="69"/>
      <c r="BB819" s="69"/>
      <c r="BC819" s="69"/>
      <c r="BD819" s="69"/>
      <c r="BE819" s="69"/>
      <c r="BF819" s="55"/>
      <c r="BG819" s="70"/>
      <c r="BH819" s="63">
        <f t="shared" si="36"/>
        <v>4</v>
      </c>
      <c r="BI819" s="63">
        <v>4</v>
      </c>
      <c r="BJ819" s="70"/>
      <c r="BK819" s="62">
        <f t="shared" si="37"/>
        <v>0</v>
      </c>
      <c r="BL819" s="63"/>
      <c r="BM819" s="71"/>
      <c r="BN819" s="71"/>
      <c r="BO819" s="71"/>
    </row>
    <row r="820" spans="2:67" ht="18.95" customHeight="1">
      <c r="B820" s="51" t="s">
        <v>96</v>
      </c>
      <c r="C820" s="52" t="s">
        <v>1030</v>
      </c>
      <c r="D820" s="53" t="s">
        <v>96</v>
      </c>
      <c r="E820" s="194" t="s">
        <v>1042</v>
      </c>
      <c r="F820" s="66"/>
      <c r="G820" s="66"/>
      <c r="H820" s="66"/>
      <c r="I820" s="66"/>
      <c r="J820" s="66"/>
      <c r="K820" s="66"/>
      <c r="L820" s="66"/>
      <c r="M820" s="66"/>
      <c r="N820" s="67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8"/>
      <c r="AS820" s="66"/>
      <c r="AT820" s="66"/>
      <c r="AU820" s="66"/>
      <c r="AV820" s="69"/>
      <c r="AW820" s="69"/>
      <c r="AX820" s="69"/>
      <c r="AY820" s="69"/>
      <c r="AZ820" s="69"/>
      <c r="BA820" s="69">
        <v>1</v>
      </c>
      <c r="BB820" s="69"/>
      <c r="BC820" s="69"/>
      <c r="BD820" s="69"/>
      <c r="BE820" s="69"/>
      <c r="BF820" s="55"/>
      <c r="BG820" s="70"/>
      <c r="BH820" s="63">
        <f t="shared" si="36"/>
        <v>1</v>
      </c>
      <c r="BI820" s="63">
        <v>1</v>
      </c>
      <c r="BJ820" s="70"/>
      <c r="BK820" s="62">
        <f t="shared" si="37"/>
        <v>0</v>
      </c>
      <c r="BL820" s="63"/>
      <c r="BM820" s="71"/>
      <c r="BN820" s="71"/>
      <c r="BO820" s="71"/>
    </row>
    <row r="821" spans="2:67" ht="18.75" customHeight="1">
      <c r="B821" s="51" t="s">
        <v>98</v>
      </c>
      <c r="C821" s="52" t="s">
        <v>1030</v>
      </c>
      <c r="D821" s="53" t="s">
        <v>98</v>
      </c>
      <c r="E821" s="194" t="s">
        <v>1043</v>
      </c>
      <c r="F821" s="66"/>
      <c r="G821" s="66"/>
      <c r="H821" s="66"/>
      <c r="I821" s="66"/>
      <c r="J821" s="66"/>
      <c r="K821" s="66"/>
      <c r="L821" s="66"/>
      <c r="M821" s="66"/>
      <c r="N821" s="67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8"/>
      <c r="AS821" s="66"/>
      <c r="AT821" s="66"/>
      <c r="AU821" s="66"/>
      <c r="AV821" s="69"/>
      <c r="AW821" s="69"/>
      <c r="AX821" s="69"/>
      <c r="AY821" s="69"/>
      <c r="AZ821" s="69">
        <v>1</v>
      </c>
      <c r="BA821" s="69"/>
      <c r="BB821" s="69"/>
      <c r="BC821" s="69"/>
      <c r="BD821" s="69"/>
      <c r="BE821" s="69"/>
      <c r="BF821" s="55"/>
      <c r="BG821" s="70"/>
      <c r="BH821" s="63">
        <f t="shared" si="36"/>
        <v>1</v>
      </c>
      <c r="BI821" s="63">
        <v>1</v>
      </c>
      <c r="BJ821" s="70"/>
      <c r="BK821" s="62">
        <f t="shared" si="37"/>
        <v>0</v>
      </c>
      <c r="BL821" s="63"/>
      <c r="BM821" s="71"/>
      <c r="BN821" s="71"/>
      <c r="BO821" s="71"/>
    </row>
    <row r="822" spans="2:67" ht="18.75" customHeight="1">
      <c r="B822" s="51" t="s">
        <v>100</v>
      </c>
      <c r="C822" s="52" t="s">
        <v>1030</v>
      </c>
      <c r="D822" s="53" t="s">
        <v>100</v>
      </c>
      <c r="E822" s="195" t="s">
        <v>1044</v>
      </c>
      <c r="F822" s="66"/>
      <c r="G822" s="66"/>
      <c r="H822" s="66"/>
      <c r="I822" s="66"/>
      <c r="J822" s="66"/>
      <c r="K822" s="66"/>
      <c r="L822" s="66"/>
      <c r="M822" s="66"/>
      <c r="N822" s="67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8"/>
      <c r="AS822" s="66"/>
      <c r="AT822" s="66"/>
      <c r="AU822" s="66"/>
      <c r="AV822" s="69"/>
      <c r="AW822" s="69"/>
      <c r="AX822" s="69"/>
      <c r="AY822" s="69"/>
      <c r="AZ822" s="69">
        <v>1</v>
      </c>
      <c r="BA822" s="69"/>
      <c r="BB822" s="69"/>
      <c r="BC822" s="69"/>
      <c r="BD822" s="69"/>
      <c r="BE822" s="69"/>
      <c r="BF822" s="55"/>
      <c r="BG822" s="70"/>
      <c r="BH822" s="63">
        <f t="shared" si="36"/>
        <v>1</v>
      </c>
      <c r="BI822" s="63">
        <v>1</v>
      </c>
      <c r="BJ822" s="70"/>
      <c r="BK822" s="62">
        <f t="shared" si="37"/>
        <v>0</v>
      </c>
      <c r="BL822" s="63"/>
      <c r="BM822" s="71"/>
      <c r="BN822" s="71"/>
      <c r="BO822" s="71"/>
    </row>
    <row r="823" spans="2:67" ht="18.95" customHeight="1">
      <c r="B823" s="51" t="s">
        <v>102</v>
      </c>
      <c r="C823" s="52" t="s">
        <v>1030</v>
      </c>
      <c r="D823" s="53" t="s">
        <v>102</v>
      </c>
      <c r="E823" s="196" t="s">
        <v>1045</v>
      </c>
      <c r="F823" s="66"/>
      <c r="G823" s="66"/>
      <c r="H823" s="66"/>
      <c r="I823" s="66"/>
      <c r="J823" s="66"/>
      <c r="K823" s="66"/>
      <c r="L823" s="66"/>
      <c r="M823" s="66"/>
      <c r="N823" s="67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8"/>
      <c r="AS823" s="66"/>
      <c r="AT823" s="66"/>
      <c r="AU823" s="66"/>
      <c r="AV823" s="69"/>
      <c r="AW823" s="69"/>
      <c r="AX823" s="69"/>
      <c r="AY823" s="69"/>
      <c r="AZ823" s="69">
        <v>1</v>
      </c>
      <c r="BA823" s="69"/>
      <c r="BB823" s="69"/>
      <c r="BC823" s="69"/>
      <c r="BD823" s="69"/>
      <c r="BE823" s="69"/>
      <c r="BF823" s="55"/>
      <c r="BG823" s="70"/>
      <c r="BH823" s="63">
        <f t="shared" si="36"/>
        <v>1</v>
      </c>
      <c r="BI823" s="63">
        <v>1</v>
      </c>
      <c r="BJ823" s="70"/>
      <c r="BK823" s="62">
        <f t="shared" si="37"/>
        <v>0</v>
      </c>
      <c r="BL823" s="63"/>
      <c r="BM823" s="71"/>
      <c r="BN823" s="71"/>
      <c r="BO823" s="71"/>
    </row>
    <row r="824" spans="2:67" ht="18.75" customHeight="1">
      <c r="B824" s="51" t="s">
        <v>104</v>
      </c>
      <c r="C824" s="52" t="s">
        <v>1030</v>
      </c>
      <c r="D824" s="53" t="s">
        <v>104</v>
      </c>
      <c r="E824" s="196" t="s">
        <v>1046</v>
      </c>
      <c r="F824" s="66"/>
      <c r="G824" s="66"/>
      <c r="H824" s="66"/>
      <c r="I824" s="66"/>
      <c r="J824" s="66"/>
      <c r="K824" s="66"/>
      <c r="L824" s="66"/>
      <c r="M824" s="66"/>
      <c r="N824" s="67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8"/>
      <c r="AS824" s="66"/>
      <c r="AT824" s="66"/>
      <c r="AU824" s="66"/>
      <c r="AV824" s="69"/>
      <c r="AW824" s="69"/>
      <c r="AX824" s="69"/>
      <c r="AY824" s="69"/>
      <c r="AZ824" s="69">
        <v>1</v>
      </c>
      <c r="BA824" s="69"/>
      <c r="BB824" s="69"/>
      <c r="BC824" s="69"/>
      <c r="BD824" s="69"/>
      <c r="BE824" s="69"/>
      <c r="BF824" s="55"/>
      <c r="BG824" s="70"/>
      <c r="BH824" s="63">
        <f t="shared" si="36"/>
        <v>1</v>
      </c>
      <c r="BI824" s="63">
        <v>1</v>
      </c>
      <c r="BJ824" s="70"/>
      <c r="BK824" s="62">
        <f t="shared" si="37"/>
        <v>0</v>
      </c>
      <c r="BL824" s="63"/>
      <c r="BM824" s="71"/>
      <c r="BN824" s="71"/>
      <c r="BO824" s="71"/>
    </row>
    <row r="825" spans="2:67" ht="18.95" customHeight="1">
      <c r="B825" s="51" t="s">
        <v>106</v>
      </c>
      <c r="C825" s="52" t="s">
        <v>1030</v>
      </c>
      <c r="D825" s="53" t="s">
        <v>106</v>
      </c>
      <c r="E825" s="156" t="s">
        <v>1047</v>
      </c>
      <c r="F825" s="66"/>
      <c r="G825" s="66"/>
      <c r="H825" s="66"/>
      <c r="I825" s="66"/>
      <c r="J825" s="66"/>
      <c r="K825" s="66"/>
      <c r="L825" s="66"/>
      <c r="M825" s="66"/>
      <c r="N825" s="67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  <c r="AO825" s="66"/>
      <c r="AP825" s="66"/>
      <c r="AQ825" s="66"/>
      <c r="AR825" s="68"/>
      <c r="AS825" s="66"/>
      <c r="AT825" s="66"/>
      <c r="AU825" s="66"/>
      <c r="AV825" s="69"/>
      <c r="AW825" s="69"/>
      <c r="AX825" s="69"/>
      <c r="AY825" s="69"/>
      <c r="AZ825" s="69"/>
      <c r="BA825" s="69"/>
      <c r="BB825" s="69"/>
      <c r="BC825" s="69"/>
      <c r="BD825" s="69"/>
      <c r="BE825" s="69"/>
      <c r="BF825" s="55">
        <v>1</v>
      </c>
      <c r="BG825" s="70"/>
      <c r="BH825" s="63">
        <f t="shared" si="36"/>
        <v>1</v>
      </c>
      <c r="BI825" s="63">
        <v>1</v>
      </c>
      <c r="BJ825" s="70"/>
      <c r="BK825" s="62">
        <f t="shared" si="37"/>
        <v>0</v>
      </c>
      <c r="BL825" s="63"/>
      <c r="BM825" s="71"/>
      <c r="BN825" s="71"/>
      <c r="BO825" s="71"/>
    </row>
    <row r="826" spans="2:67" ht="18.95" customHeight="1">
      <c r="B826" s="51" t="s">
        <v>108</v>
      </c>
      <c r="C826" s="52" t="s">
        <v>1030</v>
      </c>
      <c r="D826" s="53"/>
      <c r="E826" s="197"/>
      <c r="F826" s="66"/>
      <c r="G826" s="66"/>
      <c r="H826" s="66"/>
      <c r="I826" s="66"/>
      <c r="J826" s="66"/>
      <c r="K826" s="66"/>
      <c r="L826" s="66"/>
      <c r="M826" s="66"/>
      <c r="N826" s="67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8"/>
      <c r="AS826" s="66"/>
      <c r="AT826" s="66"/>
      <c r="AU826" s="66"/>
      <c r="AV826" s="69"/>
      <c r="AW826" s="69"/>
      <c r="AX826" s="69"/>
      <c r="AY826" s="69"/>
      <c r="AZ826" s="69"/>
      <c r="BA826" s="69"/>
      <c r="BB826" s="69"/>
      <c r="BC826" s="69"/>
      <c r="BD826" s="69"/>
      <c r="BE826" s="69"/>
      <c r="BF826" s="55"/>
      <c r="BG826" s="70"/>
      <c r="BH826" s="63"/>
      <c r="BI826" s="63"/>
      <c r="BJ826" s="70"/>
      <c r="BK826" s="70"/>
      <c r="BL826" s="63"/>
      <c r="BM826" s="71"/>
      <c r="BN826" s="71"/>
      <c r="BO826" s="71"/>
    </row>
    <row r="827" spans="2:67" ht="18.95" customHeight="1">
      <c r="B827" s="51" t="s">
        <v>110</v>
      </c>
      <c r="C827" s="52" t="s">
        <v>1030</v>
      </c>
      <c r="D827" s="53"/>
      <c r="E827" s="198"/>
      <c r="F827" s="66"/>
      <c r="G827" s="66"/>
      <c r="H827" s="66"/>
      <c r="I827" s="66"/>
      <c r="J827" s="66"/>
      <c r="K827" s="66"/>
      <c r="L827" s="66"/>
      <c r="M827" s="66"/>
      <c r="N827" s="67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8"/>
      <c r="AS827" s="66"/>
      <c r="AT827" s="66"/>
      <c r="AU827" s="66"/>
      <c r="AV827" s="69"/>
      <c r="AW827" s="69"/>
      <c r="AX827" s="69"/>
      <c r="AY827" s="69"/>
      <c r="AZ827" s="69"/>
      <c r="BA827" s="69"/>
      <c r="BB827" s="69"/>
      <c r="BC827" s="69"/>
      <c r="BD827" s="69"/>
      <c r="BE827" s="69"/>
      <c r="BF827" s="55"/>
      <c r="BG827" s="70"/>
      <c r="BH827" s="63"/>
      <c r="BI827" s="63"/>
      <c r="BJ827" s="70"/>
      <c r="BK827" s="70"/>
      <c r="BL827" s="63"/>
      <c r="BM827" s="71"/>
      <c r="BN827" s="71"/>
      <c r="BO827" s="71"/>
    </row>
    <row r="828" spans="2:67" ht="18.95" customHeight="1">
      <c r="B828" s="51" t="s">
        <v>112</v>
      </c>
      <c r="C828" s="52" t="s">
        <v>1030</v>
      </c>
      <c r="D828" s="53"/>
      <c r="E828" s="198"/>
      <c r="F828" s="66"/>
      <c r="G828" s="66"/>
      <c r="H828" s="66"/>
      <c r="I828" s="66"/>
      <c r="J828" s="66"/>
      <c r="K828" s="66"/>
      <c r="L828" s="66"/>
      <c r="M828" s="66"/>
      <c r="N828" s="67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8"/>
      <c r="AS828" s="66"/>
      <c r="AT828" s="66"/>
      <c r="AU828" s="66"/>
      <c r="AV828" s="69"/>
      <c r="AW828" s="69"/>
      <c r="AX828" s="69"/>
      <c r="AY828" s="69"/>
      <c r="AZ828" s="69"/>
      <c r="BA828" s="69"/>
      <c r="BB828" s="69"/>
      <c r="BC828" s="69"/>
      <c r="BD828" s="69"/>
      <c r="BE828" s="69"/>
      <c r="BF828" s="55"/>
      <c r="BG828" s="70"/>
      <c r="BH828" s="63"/>
      <c r="BI828" s="63"/>
      <c r="BJ828" s="70"/>
      <c r="BK828" s="70"/>
      <c r="BL828" s="63"/>
      <c r="BM828" s="71"/>
      <c r="BN828" s="71"/>
      <c r="BO828" s="71"/>
    </row>
    <row r="829" spans="2:67" ht="18.95" customHeight="1">
      <c r="B829" s="51" t="s">
        <v>114</v>
      </c>
      <c r="C829" s="52" t="s">
        <v>1030</v>
      </c>
      <c r="D829" s="53"/>
      <c r="E829" s="199"/>
      <c r="F829" s="66"/>
      <c r="G829" s="66"/>
      <c r="H829" s="66"/>
      <c r="I829" s="66"/>
      <c r="J829" s="66"/>
      <c r="K829" s="66"/>
      <c r="L829" s="66"/>
      <c r="M829" s="66"/>
      <c r="N829" s="67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  <c r="AO829" s="66"/>
      <c r="AP829" s="66"/>
      <c r="AQ829" s="66"/>
      <c r="AR829" s="68"/>
      <c r="AS829" s="66"/>
      <c r="AT829" s="66"/>
      <c r="AU829" s="66"/>
      <c r="AV829" s="69"/>
      <c r="AW829" s="69"/>
      <c r="AX829" s="69"/>
      <c r="AY829" s="69"/>
      <c r="AZ829" s="69"/>
      <c r="BA829" s="69"/>
      <c r="BB829" s="69"/>
      <c r="BC829" s="69"/>
      <c r="BD829" s="69"/>
      <c r="BE829" s="69"/>
      <c r="BF829" s="55"/>
      <c r="BG829" s="70"/>
      <c r="BH829" s="63"/>
      <c r="BI829" s="63"/>
      <c r="BJ829" s="70"/>
      <c r="BK829" s="70"/>
      <c r="BL829" s="63"/>
      <c r="BM829" s="71"/>
      <c r="BN829" s="71"/>
      <c r="BO829" s="71"/>
    </row>
    <row r="830" spans="2:67" ht="18.95" customHeight="1">
      <c r="B830" s="51" t="s">
        <v>116</v>
      </c>
      <c r="C830" s="52" t="s">
        <v>1030</v>
      </c>
      <c r="D830" s="53"/>
      <c r="E830" s="200"/>
      <c r="F830" s="66"/>
      <c r="G830" s="66"/>
      <c r="H830" s="66"/>
      <c r="I830" s="66"/>
      <c r="J830" s="66"/>
      <c r="K830" s="66"/>
      <c r="L830" s="66"/>
      <c r="M830" s="66"/>
      <c r="N830" s="67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8"/>
      <c r="AS830" s="66"/>
      <c r="AT830" s="66"/>
      <c r="AU830" s="66"/>
      <c r="AV830" s="69"/>
      <c r="AW830" s="69"/>
      <c r="AX830" s="69"/>
      <c r="AY830" s="69"/>
      <c r="AZ830" s="69"/>
      <c r="BA830" s="69"/>
      <c r="BB830" s="69"/>
      <c r="BC830" s="69"/>
      <c r="BD830" s="69"/>
      <c r="BE830" s="69"/>
      <c r="BF830" s="55"/>
      <c r="BG830" s="70"/>
      <c r="BH830" s="63"/>
      <c r="BI830" s="63"/>
      <c r="BJ830" s="70"/>
      <c r="BK830" s="70"/>
      <c r="BL830" s="63"/>
      <c r="BM830" s="71"/>
      <c r="BN830" s="71"/>
      <c r="BO830" s="71"/>
    </row>
    <row r="831" spans="2:67" ht="18.95" customHeight="1">
      <c r="B831" s="51" t="s">
        <v>118</v>
      </c>
      <c r="C831" s="52" t="s">
        <v>1030</v>
      </c>
      <c r="D831" s="53"/>
      <c r="E831" s="199"/>
      <c r="F831" s="66"/>
      <c r="G831" s="66"/>
      <c r="H831" s="66"/>
      <c r="I831" s="66"/>
      <c r="J831" s="66"/>
      <c r="K831" s="66"/>
      <c r="L831" s="66"/>
      <c r="M831" s="66"/>
      <c r="N831" s="67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  <c r="AO831" s="66"/>
      <c r="AP831" s="66"/>
      <c r="AQ831" s="66"/>
      <c r="AR831" s="68"/>
      <c r="AS831" s="66"/>
      <c r="AT831" s="66"/>
      <c r="AU831" s="66"/>
      <c r="AV831" s="69"/>
      <c r="AW831" s="69"/>
      <c r="AX831" s="69"/>
      <c r="AY831" s="69"/>
      <c r="AZ831" s="69"/>
      <c r="BA831" s="69"/>
      <c r="BB831" s="69"/>
      <c r="BC831" s="69"/>
      <c r="BD831" s="69"/>
      <c r="BE831" s="69"/>
      <c r="BF831" s="55"/>
      <c r="BG831" s="70"/>
      <c r="BH831" s="63"/>
      <c r="BI831" s="63"/>
      <c r="BJ831" s="70"/>
      <c r="BK831" s="70"/>
      <c r="BL831" s="63"/>
      <c r="BM831" s="71"/>
      <c r="BN831" s="71"/>
      <c r="BO831" s="71"/>
    </row>
    <row r="832" spans="2:67" ht="18.95" customHeight="1">
      <c r="B832" s="51" t="s">
        <v>120</v>
      </c>
      <c r="C832" s="52" t="s">
        <v>1030</v>
      </c>
      <c r="D832" s="53"/>
      <c r="E832" s="199"/>
      <c r="F832" s="66"/>
      <c r="G832" s="66"/>
      <c r="H832" s="66"/>
      <c r="I832" s="66"/>
      <c r="J832" s="66"/>
      <c r="K832" s="66"/>
      <c r="L832" s="66"/>
      <c r="M832" s="66"/>
      <c r="N832" s="67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8"/>
      <c r="AS832" s="66"/>
      <c r="AT832" s="66"/>
      <c r="AU832" s="66"/>
      <c r="AV832" s="69"/>
      <c r="AW832" s="69"/>
      <c r="AX832" s="69"/>
      <c r="AY832" s="69"/>
      <c r="AZ832" s="69"/>
      <c r="BA832" s="69"/>
      <c r="BB832" s="69"/>
      <c r="BC832" s="69"/>
      <c r="BD832" s="69"/>
      <c r="BE832" s="69"/>
      <c r="BF832" s="55"/>
      <c r="BG832" s="70"/>
      <c r="BH832" s="63"/>
      <c r="BI832" s="63"/>
      <c r="BJ832" s="70"/>
      <c r="BK832" s="70"/>
      <c r="BL832" s="63"/>
      <c r="BM832" s="71"/>
      <c r="BN832" s="71"/>
      <c r="BO832" s="71"/>
    </row>
    <row r="833" spans="2:67" ht="18.95" customHeight="1">
      <c r="B833" s="51" t="s">
        <v>122</v>
      </c>
      <c r="C833" s="52" t="s">
        <v>1030</v>
      </c>
      <c r="D833" s="53"/>
      <c r="E833" s="199"/>
      <c r="F833" s="66"/>
      <c r="G833" s="66"/>
      <c r="H833" s="66"/>
      <c r="I833" s="66"/>
      <c r="J833" s="66"/>
      <c r="K833" s="66"/>
      <c r="L833" s="66"/>
      <c r="M833" s="66"/>
      <c r="N833" s="67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75"/>
      <c r="AM833" s="66"/>
      <c r="AN833" s="66"/>
      <c r="AO833" s="66"/>
      <c r="AP833" s="66"/>
      <c r="AQ833" s="66"/>
      <c r="AR833" s="68"/>
      <c r="AS833" s="66"/>
      <c r="AT833" s="66"/>
      <c r="AU833" s="66"/>
      <c r="AV833" s="69"/>
      <c r="AW833" s="69"/>
      <c r="AX833" s="69"/>
      <c r="AY833" s="69"/>
      <c r="AZ833" s="69"/>
      <c r="BA833" s="69"/>
      <c r="BB833" s="69"/>
      <c r="BC833" s="69"/>
      <c r="BD833" s="69"/>
      <c r="BE833" s="69"/>
      <c r="BF833" s="55"/>
      <c r="BG833" s="70"/>
      <c r="BH833" s="63"/>
      <c r="BI833" s="63"/>
      <c r="BJ833" s="70"/>
      <c r="BK833" s="70"/>
      <c r="BL833" s="63"/>
      <c r="BM833" s="71"/>
      <c r="BN833" s="71"/>
      <c r="BO833" s="71"/>
    </row>
    <row r="834" spans="2:67" ht="18.95" customHeight="1">
      <c r="B834" s="51" t="s">
        <v>124</v>
      </c>
      <c r="C834" s="52" t="s">
        <v>1030</v>
      </c>
      <c r="D834" s="53"/>
      <c r="E834" s="199"/>
      <c r="F834" s="66"/>
      <c r="G834" s="66"/>
      <c r="H834" s="66"/>
      <c r="I834" s="66"/>
      <c r="J834" s="66"/>
      <c r="K834" s="66"/>
      <c r="L834" s="66"/>
      <c r="M834" s="66"/>
      <c r="N834" s="67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75"/>
      <c r="AM834" s="66"/>
      <c r="AN834" s="66"/>
      <c r="AO834" s="66"/>
      <c r="AP834" s="66"/>
      <c r="AQ834" s="66"/>
      <c r="AR834" s="68"/>
      <c r="AS834" s="66"/>
      <c r="AT834" s="66"/>
      <c r="AU834" s="66"/>
      <c r="AV834" s="69"/>
      <c r="AW834" s="69"/>
      <c r="AX834" s="69"/>
      <c r="AY834" s="69"/>
      <c r="AZ834" s="69"/>
      <c r="BA834" s="69"/>
      <c r="BB834" s="69"/>
      <c r="BC834" s="69"/>
      <c r="BD834" s="69"/>
      <c r="BE834" s="69"/>
      <c r="BF834" s="55"/>
      <c r="BG834" s="70"/>
      <c r="BH834" s="63"/>
      <c r="BI834" s="63"/>
      <c r="BJ834" s="70"/>
      <c r="BK834" s="70"/>
      <c r="BL834" s="63"/>
      <c r="BM834" s="71"/>
      <c r="BN834" s="71"/>
      <c r="BO834" s="71"/>
    </row>
    <row r="835" spans="2:67" ht="18.95" customHeight="1">
      <c r="B835" s="51" t="s">
        <v>126</v>
      </c>
      <c r="C835" s="52" t="s">
        <v>1030</v>
      </c>
      <c r="D835" s="53"/>
      <c r="E835" s="199"/>
      <c r="F835" s="66"/>
      <c r="G835" s="66"/>
      <c r="H835" s="66"/>
      <c r="I835" s="66"/>
      <c r="J835" s="66"/>
      <c r="K835" s="66"/>
      <c r="L835" s="66"/>
      <c r="M835" s="66"/>
      <c r="N835" s="67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8"/>
      <c r="AS835" s="66"/>
      <c r="AT835" s="66"/>
      <c r="AU835" s="66"/>
      <c r="AV835" s="69"/>
      <c r="AW835" s="69"/>
      <c r="AX835" s="69"/>
      <c r="AY835" s="69"/>
      <c r="AZ835" s="69"/>
      <c r="BA835" s="69"/>
      <c r="BB835" s="69"/>
      <c r="BC835" s="69"/>
      <c r="BD835" s="69"/>
      <c r="BE835" s="69"/>
      <c r="BF835" s="55"/>
      <c r="BG835" s="70"/>
      <c r="BH835" s="63"/>
      <c r="BI835" s="63"/>
      <c r="BJ835" s="70"/>
      <c r="BK835" s="70"/>
      <c r="BL835" s="63"/>
      <c r="BM835" s="71"/>
      <c r="BN835" s="65"/>
      <c r="BO835" s="65"/>
    </row>
    <row r="836" spans="2:67" ht="18.95" customHeight="1">
      <c r="B836" s="51" t="s">
        <v>128</v>
      </c>
      <c r="C836" s="52" t="s">
        <v>1030</v>
      </c>
      <c r="D836" s="53"/>
      <c r="E836" s="199"/>
      <c r="F836" s="55"/>
      <c r="G836" s="66"/>
      <c r="H836" s="66"/>
      <c r="I836" s="66"/>
      <c r="J836" s="66"/>
      <c r="K836" s="66"/>
      <c r="L836" s="66"/>
      <c r="M836" s="66"/>
      <c r="N836" s="67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75"/>
      <c r="AM836" s="66"/>
      <c r="AN836" s="66"/>
      <c r="AO836" s="66"/>
      <c r="AP836" s="66"/>
      <c r="AQ836" s="66"/>
      <c r="AR836" s="68"/>
      <c r="AS836" s="66"/>
      <c r="AT836" s="66"/>
      <c r="AU836" s="66"/>
      <c r="AV836" s="69"/>
      <c r="AW836" s="69"/>
      <c r="AX836" s="69"/>
      <c r="AY836" s="69"/>
      <c r="AZ836" s="69"/>
      <c r="BA836" s="69"/>
      <c r="BB836" s="69"/>
      <c r="BC836" s="69"/>
      <c r="BD836" s="69"/>
      <c r="BE836" s="69"/>
      <c r="BF836" s="55"/>
      <c r="BG836" s="70"/>
      <c r="BH836" s="63"/>
      <c r="BI836" s="63"/>
      <c r="BJ836" s="70"/>
      <c r="BK836" s="70"/>
      <c r="BL836" s="63"/>
      <c r="BM836" s="71"/>
      <c r="BN836" s="65"/>
      <c r="BO836" s="65"/>
    </row>
    <row r="837" spans="2:67" ht="18.95" customHeight="1">
      <c r="B837" s="51" t="s">
        <v>130</v>
      </c>
      <c r="C837" s="52" t="s">
        <v>1030</v>
      </c>
      <c r="D837" s="53"/>
      <c r="E837" s="199"/>
      <c r="F837" s="66"/>
      <c r="G837" s="66"/>
      <c r="H837" s="66"/>
      <c r="I837" s="66"/>
      <c r="J837" s="66"/>
      <c r="K837" s="66"/>
      <c r="L837" s="66"/>
      <c r="M837" s="66"/>
      <c r="N837" s="67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  <c r="AO837" s="66"/>
      <c r="AP837" s="66"/>
      <c r="AQ837" s="66"/>
      <c r="AR837" s="68"/>
      <c r="AS837" s="66"/>
      <c r="AT837" s="66"/>
      <c r="AU837" s="66"/>
      <c r="AV837" s="69"/>
      <c r="AW837" s="69"/>
      <c r="AX837" s="69"/>
      <c r="AY837" s="69"/>
      <c r="AZ837" s="69"/>
      <c r="BA837" s="69"/>
      <c r="BB837" s="69"/>
      <c r="BC837" s="69"/>
      <c r="BD837" s="69"/>
      <c r="BE837" s="69"/>
      <c r="BF837" s="55"/>
      <c r="BG837" s="70"/>
      <c r="BH837" s="63"/>
      <c r="BI837" s="63"/>
      <c r="BJ837" s="70"/>
      <c r="BK837" s="70"/>
      <c r="BL837" s="63"/>
      <c r="BM837" s="71"/>
      <c r="BN837" s="71"/>
      <c r="BO837" s="71"/>
    </row>
    <row r="838" spans="2:67" ht="18.95" customHeight="1">
      <c r="B838" s="51" t="s">
        <v>132</v>
      </c>
      <c r="C838" s="52" t="s">
        <v>1030</v>
      </c>
      <c r="D838" s="53"/>
      <c r="E838" s="200"/>
      <c r="F838" s="55"/>
      <c r="G838" s="55"/>
      <c r="H838" s="55"/>
      <c r="I838" s="55"/>
      <c r="J838" s="55"/>
      <c r="K838" s="55"/>
      <c r="L838" s="55"/>
      <c r="M838" s="55"/>
      <c r="N838" s="56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76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70"/>
      <c r="BH838" s="63"/>
      <c r="BI838" s="63"/>
      <c r="BJ838" s="70"/>
      <c r="BK838" s="70"/>
      <c r="BL838" s="63"/>
      <c r="BM838" s="71"/>
      <c r="BN838" s="65"/>
      <c r="BO838" s="65"/>
    </row>
    <row r="839" spans="2:67">
      <c r="B839" s="87"/>
      <c r="C839" s="87"/>
      <c r="D839" s="87"/>
      <c r="E839" s="87"/>
    </row>
    <row r="840" spans="2:67">
      <c r="B840" s="87"/>
      <c r="C840" s="87"/>
      <c r="D840" s="87"/>
      <c r="E840" s="87"/>
    </row>
    <row r="841" spans="2:67">
      <c r="B841" s="87"/>
      <c r="C841" s="87"/>
      <c r="D841" s="87"/>
      <c r="E841" s="87"/>
    </row>
    <row r="842" spans="2:67">
      <c r="B842" s="87"/>
      <c r="C842" s="87"/>
      <c r="D842" s="87"/>
      <c r="E842" s="87"/>
    </row>
    <row r="843" spans="2:67">
      <c r="B843" s="87"/>
      <c r="C843" s="87"/>
      <c r="D843" s="87"/>
      <c r="E843" s="87"/>
    </row>
    <row r="844" spans="2:67">
      <c r="B844" s="87"/>
      <c r="C844" s="87"/>
      <c r="D844" s="87"/>
      <c r="E844" s="87"/>
    </row>
    <row r="845" spans="2:67">
      <c r="B845" s="87"/>
      <c r="C845" s="87"/>
      <c r="D845" s="87"/>
      <c r="E845" s="87"/>
    </row>
    <row r="846" spans="2:67">
      <c r="B846" s="87"/>
      <c r="C846" s="87"/>
      <c r="D846" s="87"/>
      <c r="E846" s="87"/>
    </row>
    <row r="847" spans="2:67">
      <c r="B847" s="87"/>
      <c r="C847" s="87"/>
      <c r="D847" s="87"/>
      <c r="E847" s="87"/>
    </row>
    <row r="848" spans="2:67">
      <c r="B848" s="87"/>
      <c r="C848" s="87"/>
      <c r="D848" s="87"/>
      <c r="E848" s="87"/>
    </row>
    <row r="849" spans="2:67">
      <c r="B849" s="87"/>
      <c r="C849" s="87"/>
      <c r="D849" s="87"/>
      <c r="E849" s="87"/>
    </row>
    <row r="850" spans="2:67">
      <c r="B850" s="87"/>
      <c r="C850" s="87"/>
      <c r="D850" s="87"/>
      <c r="E850" s="87"/>
    </row>
    <row r="851" spans="2:67">
      <c r="B851" s="2" t="s">
        <v>1</v>
      </c>
      <c r="C851" s="2"/>
      <c r="D851" s="2"/>
      <c r="E851" s="2"/>
      <c r="F851" s="3"/>
      <c r="G851" s="4"/>
      <c r="H851" s="4"/>
      <c r="I851" s="4"/>
      <c r="J851" s="4"/>
      <c r="K851" s="4"/>
      <c r="L851" s="4"/>
      <c r="M851" s="4"/>
      <c r="N851" s="107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5"/>
      <c r="AE851" s="5"/>
      <c r="AF851" s="5"/>
      <c r="AG851" s="5"/>
      <c r="AH851" s="5"/>
      <c r="AI851" s="5"/>
      <c r="AJ851" s="5"/>
      <c r="AK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7"/>
      <c r="BI851" s="7"/>
      <c r="BJ851" s="5"/>
      <c r="BK851" s="5"/>
      <c r="BM851" s="5"/>
      <c r="BN851" s="5"/>
      <c r="BO851" s="5"/>
    </row>
    <row r="852" spans="2:67" ht="18.75" customHeight="1">
      <c r="B852" s="2"/>
      <c r="C852" s="2"/>
      <c r="D852" s="2"/>
      <c r="E852" s="2"/>
      <c r="F852" s="1" t="s">
        <v>0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9" t="s">
        <v>1048</v>
      </c>
      <c r="BG852" s="10"/>
      <c r="BH852" s="10"/>
      <c r="BI852" s="10"/>
      <c r="BJ852" s="10"/>
      <c r="BK852" s="10"/>
      <c r="BL852" s="10"/>
      <c r="BM852" s="10"/>
      <c r="BN852" s="10"/>
      <c r="BO852" s="11"/>
    </row>
    <row r="853" spans="2:67">
      <c r="B853" s="12"/>
      <c r="C853" s="12"/>
      <c r="D853" s="12"/>
      <c r="E853" s="12"/>
      <c r="F853" s="13"/>
      <c r="G853" s="14" t="s">
        <v>1049</v>
      </c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6"/>
      <c r="AM853" s="15"/>
      <c r="AN853" s="15"/>
      <c r="AO853" s="15"/>
      <c r="AP853" s="15"/>
      <c r="AQ853" s="15"/>
      <c r="AR853" s="17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8"/>
      <c r="BM853" s="15"/>
      <c r="BN853" s="15"/>
      <c r="BO853" s="15"/>
    </row>
    <row r="854" spans="2:67" ht="15">
      <c r="B854" s="19" t="s">
        <v>4</v>
      </c>
      <c r="C854" s="20" t="s">
        <v>5</v>
      </c>
      <c r="D854" s="20"/>
      <c r="E854" s="21" t="s">
        <v>6</v>
      </c>
      <c r="F854" s="110" t="s">
        <v>135</v>
      </c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  <c r="AZ854" s="111"/>
      <c r="BA854" s="111"/>
      <c r="BB854" s="111"/>
      <c r="BC854" s="111"/>
      <c r="BD854" s="111"/>
      <c r="BE854" s="111"/>
      <c r="BF854" s="24" t="s">
        <v>8</v>
      </c>
      <c r="BG854" s="25"/>
      <c r="BH854" s="25"/>
      <c r="BI854" s="26"/>
      <c r="BJ854" s="31" t="s">
        <v>9</v>
      </c>
      <c r="BK854" s="32"/>
      <c r="BL854" s="29"/>
      <c r="BM854" s="30"/>
      <c r="BN854" s="31" t="s">
        <v>10</v>
      </c>
      <c r="BO854" s="32"/>
    </row>
    <row r="855" spans="2:67" ht="110.1" customHeight="1">
      <c r="B855" s="33"/>
      <c r="C855" s="34" t="s">
        <v>11</v>
      </c>
      <c r="D855" s="35" t="s">
        <v>4</v>
      </c>
      <c r="E855" s="35" t="s">
        <v>12</v>
      </c>
      <c r="F855" s="36" t="s">
        <v>13</v>
      </c>
      <c r="G855" s="36" t="s">
        <v>14</v>
      </c>
      <c r="H855" s="36" t="s">
        <v>15</v>
      </c>
      <c r="I855" s="36" t="s">
        <v>16</v>
      </c>
      <c r="J855" s="36" t="s">
        <v>17</v>
      </c>
      <c r="K855" s="36" t="s">
        <v>18</v>
      </c>
      <c r="L855" s="36" t="s">
        <v>19</v>
      </c>
      <c r="M855" s="36" t="s">
        <v>20</v>
      </c>
      <c r="N855" s="37" t="s">
        <v>21</v>
      </c>
      <c r="O855" s="36" t="s">
        <v>22</v>
      </c>
      <c r="P855" s="36" t="s">
        <v>23</v>
      </c>
      <c r="Q855" s="36" t="s">
        <v>24</v>
      </c>
      <c r="R855" s="36" t="s">
        <v>25</v>
      </c>
      <c r="S855" s="36" t="s">
        <v>26</v>
      </c>
      <c r="T855" s="36" t="s">
        <v>27</v>
      </c>
      <c r="U855" s="36" t="s">
        <v>28</v>
      </c>
      <c r="V855" s="36" t="s">
        <v>29</v>
      </c>
      <c r="W855" s="36" t="s">
        <v>30</v>
      </c>
      <c r="X855" s="38" t="s">
        <v>31</v>
      </c>
      <c r="Y855" s="36" t="s">
        <v>32</v>
      </c>
      <c r="Z855" s="36" t="s">
        <v>33</v>
      </c>
      <c r="AA855" s="36" t="s">
        <v>34</v>
      </c>
      <c r="AB855" s="38" t="s">
        <v>35</v>
      </c>
      <c r="AC855" s="36" t="s">
        <v>36</v>
      </c>
      <c r="AD855" s="39" t="s">
        <v>37</v>
      </c>
      <c r="AE855" s="36" t="s">
        <v>38</v>
      </c>
      <c r="AF855" s="40" t="s">
        <v>39</v>
      </c>
      <c r="AG855" s="40" t="s">
        <v>40</v>
      </c>
      <c r="AH855" s="40" t="s">
        <v>41</v>
      </c>
      <c r="AI855" s="40" t="s">
        <v>42</v>
      </c>
      <c r="AJ855" s="40" t="s">
        <v>43</v>
      </c>
      <c r="AK855" s="40" t="s">
        <v>44</v>
      </c>
      <c r="AL855" s="41" t="s">
        <v>45</v>
      </c>
      <c r="AM855" s="42" t="s">
        <v>46</v>
      </c>
      <c r="AN855" s="43" t="s">
        <v>47</v>
      </c>
      <c r="AO855" s="40" t="s">
        <v>48</v>
      </c>
      <c r="AP855" s="40" t="s">
        <v>49</v>
      </c>
      <c r="AQ855" s="40" t="s">
        <v>50</v>
      </c>
      <c r="AR855" s="44" t="s">
        <v>136</v>
      </c>
      <c r="AS855" s="36" t="s">
        <v>52</v>
      </c>
      <c r="AT855" s="36" t="s">
        <v>53</v>
      </c>
      <c r="AU855" s="36" t="s">
        <v>54</v>
      </c>
      <c r="AV855" s="36" t="s">
        <v>55</v>
      </c>
      <c r="AW855" s="36" t="s">
        <v>56</v>
      </c>
      <c r="AX855" s="36" t="s">
        <v>203</v>
      </c>
      <c r="AY855" s="36" t="s">
        <v>58</v>
      </c>
      <c r="AZ855" s="38" t="s">
        <v>59</v>
      </c>
      <c r="BA855" s="36" t="s">
        <v>60</v>
      </c>
      <c r="BB855" s="36" t="s">
        <v>61</v>
      </c>
      <c r="BC855" s="39" t="s">
        <v>62</v>
      </c>
      <c r="BD855" s="36" t="s">
        <v>63</v>
      </c>
      <c r="BE855" s="36" t="s">
        <v>64</v>
      </c>
      <c r="BF855" s="45" t="s">
        <v>65</v>
      </c>
      <c r="BG855" s="45" t="s">
        <v>66</v>
      </c>
      <c r="BH855" s="45" t="s">
        <v>67</v>
      </c>
      <c r="BI855" s="45" t="s">
        <v>68</v>
      </c>
      <c r="BJ855" s="46" t="s">
        <v>69</v>
      </c>
      <c r="BK855" s="46" t="s">
        <v>70</v>
      </c>
      <c r="BL855" s="47" t="s">
        <v>71</v>
      </c>
      <c r="BM855" s="48" t="s">
        <v>72</v>
      </c>
      <c r="BN855" s="49" t="s">
        <v>69</v>
      </c>
      <c r="BO855" s="50" t="s">
        <v>70</v>
      </c>
    </row>
    <row r="856" spans="2:67" ht="18.95" customHeight="1">
      <c r="B856" s="51" t="s">
        <v>73</v>
      </c>
      <c r="C856" s="52" t="s">
        <v>1050</v>
      </c>
      <c r="D856" s="53"/>
      <c r="E856" s="198"/>
      <c r="F856" s="55"/>
      <c r="G856" s="55"/>
      <c r="H856" s="55"/>
      <c r="I856" s="55"/>
      <c r="J856" s="55"/>
      <c r="K856" s="55"/>
      <c r="L856" s="55"/>
      <c r="M856" s="55"/>
      <c r="N856" s="56"/>
      <c r="O856" s="55"/>
      <c r="P856" s="55"/>
      <c r="Q856" s="57"/>
      <c r="R856" s="55"/>
      <c r="S856" s="58"/>
      <c r="T856" s="58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7"/>
      <c r="AF856" s="57"/>
      <c r="AG856" s="57"/>
      <c r="AH856" s="57"/>
      <c r="AI856" s="57"/>
      <c r="AJ856" s="57"/>
      <c r="AK856" s="57"/>
      <c r="AL856" s="59"/>
      <c r="AM856" s="57"/>
      <c r="AN856" s="57"/>
      <c r="AO856" s="55"/>
      <c r="AP856" s="55"/>
      <c r="AQ856" s="57"/>
      <c r="AR856" s="60"/>
      <c r="AS856" s="57"/>
      <c r="AT856" s="57"/>
      <c r="AU856" s="57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55"/>
      <c r="BG856" s="62"/>
      <c r="BH856" s="63">
        <f t="shared" ref="BH856:BH885" si="38">SUM(F856:BG856)</f>
        <v>0</v>
      </c>
      <c r="BI856" s="64"/>
      <c r="BJ856" s="62"/>
      <c r="BK856" s="62"/>
      <c r="BL856" s="64"/>
      <c r="BM856" s="65"/>
      <c r="BN856" s="65"/>
      <c r="BO856" s="65"/>
    </row>
    <row r="857" spans="2:67" ht="18.95" customHeight="1">
      <c r="B857" s="51" t="s">
        <v>76</v>
      </c>
      <c r="C857" s="52" t="s">
        <v>1050</v>
      </c>
      <c r="D857" s="53"/>
      <c r="E857" s="198"/>
      <c r="F857" s="66"/>
      <c r="G857" s="66"/>
      <c r="H857" s="66"/>
      <c r="I857" s="66"/>
      <c r="J857" s="66"/>
      <c r="K857" s="66"/>
      <c r="L857" s="66"/>
      <c r="M857" s="66"/>
      <c r="N857" s="67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8"/>
      <c r="AS857" s="66"/>
      <c r="AT857" s="66"/>
      <c r="AU857" s="66"/>
      <c r="AV857" s="69"/>
      <c r="AW857" s="69"/>
      <c r="AX857" s="69"/>
      <c r="AY857" s="69"/>
      <c r="AZ857" s="69"/>
      <c r="BA857" s="69"/>
      <c r="BB857" s="69"/>
      <c r="BC857" s="69"/>
      <c r="BD857" s="69"/>
      <c r="BE857" s="69"/>
      <c r="BF857" s="55"/>
      <c r="BG857" s="70"/>
      <c r="BH857" s="63">
        <f t="shared" si="38"/>
        <v>0</v>
      </c>
      <c r="BI857" s="63"/>
      <c r="BJ857" s="70"/>
      <c r="BK857" s="70"/>
      <c r="BL857" s="63"/>
      <c r="BM857" s="71"/>
      <c r="BN857" s="71"/>
      <c r="BO857" s="72"/>
    </row>
    <row r="858" spans="2:67" ht="18.95" customHeight="1">
      <c r="B858" s="51" t="s">
        <v>78</v>
      </c>
      <c r="C858" s="52" t="s">
        <v>1050</v>
      </c>
      <c r="D858" s="53"/>
      <c r="E858" s="198"/>
      <c r="F858" s="66"/>
      <c r="G858" s="66"/>
      <c r="H858" s="66"/>
      <c r="I858" s="66"/>
      <c r="J858" s="66"/>
      <c r="K858" s="66"/>
      <c r="L858" s="66"/>
      <c r="M858" s="66"/>
      <c r="N858" s="67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8"/>
      <c r="AS858" s="66"/>
      <c r="AT858" s="66"/>
      <c r="AU858" s="66"/>
      <c r="AV858" s="69"/>
      <c r="AW858" s="69"/>
      <c r="AX858" s="69"/>
      <c r="AY858" s="69"/>
      <c r="AZ858" s="69"/>
      <c r="BA858" s="69"/>
      <c r="BB858" s="69"/>
      <c r="BC858" s="69"/>
      <c r="BD858" s="69"/>
      <c r="BE858" s="69"/>
      <c r="BF858" s="55"/>
      <c r="BG858" s="70"/>
      <c r="BH858" s="63">
        <f t="shared" si="38"/>
        <v>0</v>
      </c>
      <c r="BI858" s="63"/>
      <c r="BJ858" s="70"/>
      <c r="BK858" s="70"/>
      <c r="BL858" s="63"/>
      <c r="BM858" s="71"/>
      <c r="BN858" s="72"/>
      <c r="BO858" s="71"/>
    </row>
    <row r="859" spans="2:67" ht="18.95" customHeight="1">
      <c r="B859" s="51" t="s">
        <v>80</v>
      </c>
      <c r="C859" s="52" t="s">
        <v>1050</v>
      </c>
      <c r="D859" s="53"/>
      <c r="E859" s="198"/>
      <c r="F859" s="66"/>
      <c r="G859" s="66"/>
      <c r="H859" s="66"/>
      <c r="I859" s="66"/>
      <c r="J859" s="66"/>
      <c r="K859" s="66"/>
      <c r="L859" s="66"/>
      <c r="M859" s="66"/>
      <c r="N859" s="67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8"/>
      <c r="AS859" s="66"/>
      <c r="AT859" s="66"/>
      <c r="AU859" s="66"/>
      <c r="AV859" s="69"/>
      <c r="AW859" s="69"/>
      <c r="AX859" s="69"/>
      <c r="AY859" s="69"/>
      <c r="AZ859" s="69"/>
      <c r="BA859" s="69"/>
      <c r="BB859" s="69"/>
      <c r="BC859" s="69"/>
      <c r="BD859" s="69"/>
      <c r="BE859" s="69"/>
      <c r="BF859" s="55"/>
      <c r="BG859" s="70"/>
      <c r="BH859" s="63">
        <f t="shared" si="38"/>
        <v>0</v>
      </c>
      <c r="BI859" s="63"/>
      <c r="BJ859" s="70"/>
      <c r="BK859" s="70"/>
      <c r="BL859" s="63"/>
      <c r="BM859" s="71"/>
      <c r="BN859" s="71"/>
      <c r="BO859" s="71"/>
    </row>
    <row r="860" spans="2:67" ht="18.95" customHeight="1">
      <c r="B860" s="51" t="s">
        <v>82</v>
      </c>
      <c r="C860" s="52" t="s">
        <v>1050</v>
      </c>
      <c r="D860" s="53"/>
      <c r="E860" s="198"/>
      <c r="F860" s="66"/>
      <c r="G860" s="66"/>
      <c r="H860" s="66"/>
      <c r="I860" s="66"/>
      <c r="J860" s="66"/>
      <c r="K860" s="66"/>
      <c r="L860" s="66"/>
      <c r="M860" s="66"/>
      <c r="N860" s="67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8"/>
      <c r="AS860" s="66"/>
      <c r="AT860" s="66"/>
      <c r="AU860" s="66"/>
      <c r="AV860" s="69"/>
      <c r="AW860" s="69"/>
      <c r="AX860" s="69"/>
      <c r="AY860" s="69"/>
      <c r="AZ860" s="69"/>
      <c r="BA860" s="69"/>
      <c r="BB860" s="69"/>
      <c r="BC860" s="69"/>
      <c r="BD860" s="69"/>
      <c r="BE860" s="69"/>
      <c r="BF860" s="55"/>
      <c r="BG860" s="70"/>
      <c r="BH860" s="63">
        <f t="shared" si="38"/>
        <v>0</v>
      </c>
      <c r="BI860" s="63"/>
      <c r="BJ860" s="70"/>
      <c r="BK860" s="70"/>
      <c r="BL860" s="63"/>
      <c r="BM860" s="71"/>
      <c r="BN860" s="71"/>
      <c r="BO860" s="71"/>
    </row>
    <row r="861" spans="2:67" ht="18.95" customHeight="1">
      <c r="B861" s="51" t="s">
        <v>84</v>
      </c>
      <c r="C861" s="52" t="s">
        <v>1050</v>
      </c>
      <c r="D861" s="53"/>
      <c r="E861" s="198"/>
      <c r="F861" s="66"/>
      <c r="G861" s="66"/>
      <c r="H861" s="66"/>
      <c r="I861" s="66"/>
      <c r="J861" s="66"/>
      <c r="K861" s="66"/>
      <c r="L861" s="66"/>
      <c r="M861" s="66"/>
      <c r="N861" s="67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8"/>
      <c r="AS861" s="66"/>
      <c r="AT861" s="66"/>
      <c r="AU861" s="66"/>
      <c r="AV861" s="69"/>
      <c r="AW861" s="69"/>
      <c r="AX861" s="69"/>
      <c r="AY861" s="69"/>
      <c r="AZ861" s="69"/>
      <c r="BA861" s="69"/>
      <c r="BB861" s="69"/>
      <c r="BC861" s="69"/>
      <c r="BD861" s="69"/>
      <c r="BE861" s="69"/>
      <c r="BF861" s="55"/>
      <c r="BG861" s="70"/>
      <c r="BH861" s="63">
        <f t="shared" si="38"/>
        <v>0</v>
      </c>
      <c r="BI861" s="63"/>
      <c r="BJ861" s="70"/>
      <c r="BK861" s="70"/>
      <c r="BL861" s="63"/>
      <c r="BM861" s="71"/>
      <c r="BN861" s="71"/>
      <c r="BO861" s="71"/>
    </row>
    <row r="862" spans="2:67" ht="18.95" customHeight="1">
      <c r="B862" s="51" t="s">
        <v>86</v>
      </c>
      <c r="C862" s="52" t="s">
        <v>1050</v>
      </c>
      <c r="D862" s="53"/>
      <c r="E862" s="199"/>
      <c r="F862" s="66"/>
      <c r="G862" s="66"/>
      <c r="H862" s="66"/>
      <c r="I862" s="66"/>
      <c r="J862" s="66"/>
      <c r="K862" s="66"/>
      <c r="L862" s="66"/>
      <c r="M862" s="66"/>
      <c r="N862" s="67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8"/>
      <c r="AS862" s="66"/>
      <c r="AT862" s="66"/>
      <c r="AU862" s="66"/>
      <c r="AV862" s="69"/>
      <c r="AW862" s="69"/>
      <c r="AX862" s="69"/>
      <c r="AY862" s="69"/>
      <c r="AZ862" s="69"/>
      <c r="BA862" s="69"/>
      <c r="BB862" s="69"/>
      <c r="BC862" s="69"/>
      <c r="BD862" s="69"/>
      <c r="BE862" s="69"/>
      <c r="BF862" s="55"/>
      <c r="BG862" s="70"/>
      <c r="BH862" s="63">
        <f t="shared" si="38"/>
        <v>0</v>
      </c>
      <c r="BI862" s="63"/>
      <c r="BJ862" s="70"/>
      <c r="BK862" s="70"/>
      <c r="BL862" s="63"/>
      <c r="BM862" s="71"/>
      <c r="BN862" s="71"/>
      <c r="BO862" s="71"/>
    </row>
    <row r="863" spans="2:67" ht="18.95" customHeight="1">
      <c r="B863" s="51" t="s">
        <v>88</v>
      </c>
      <c r="C863" s="52" t="s">
        <v>1050</v>
      </c>
      <c r="D863" s="53"/>
      <c r="E863" s="200"/>
      <c r="F863" s="66"/>
      <c r="G863" s="66"/>
      <c r="H863" s="66"/>
      <c r="I863" s="66"/>
      <c r="J863" s="66"/>
      <c r="K863" s="66"/>
      <c r="L863" s="66"/>
      <c r="M863" s="66"/>
      <c r="N863" s="67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8"/>
      <c r="AS863" s="66"/>
      <c r="AT863" s="66"/>
      <c r="AU863" s="66"/>
      <c r="AV863" s="69"/>
      <c r="AW863" s="69"/>
      <c r="AX863" s="69"/>
      <c r="AY863" s="69"/>
      <c r="AZ863" s="69"/>
      <c r="BA863" s="69"/>
      <c r="BB863" s="69"/>
      <c r="BC863" s="69"/>
      <c r="BD863" s="69"/>
      <c r="BE863" s="69"/>
      <c r="BF863" s="55"/>
      <c r="BG863" s="70"/>
      <c r="BH863" s="63">
        <f t="shared" si="38"/>
        <v>0</v>
      </c>
      <c r="BI863" s="63"/>
      <c r="BJ863" s="70"/>
      <c r="BK863" s="70"/>
      <c r="BL863" s="63"/>
      <c r="BM863" s="71"/>
      <c r="BN863" s="71"/>
      <c r="BO863" s="71"/>
    </row>
    <row r="864" spans="2:67" ht="18.95" customHeight="1">
      <c r="B864" s="51" t="s">
        <v>90</v>
      </c>
      <c r="C864" s="52" t="s">
        <v>1050</v>
      </c>
      <c r="D864" s="53"/>
      <c r="E864" s="199"/>
      <c r="F864" s="66"/>
      <c r="G864" s="66"/>
      <c r="H864" s="66"/>
      <c r="I864" s="66"/>
      <c r="J864" s="66"/>
      <c r="K864" s="66"/>
      <c r="L864" s="66"/>
      <c r="M864" s="66"/>
      <c r="N864" s="67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8"/>
      <c r="AS864" s="66"/>
      <c r="AT864" s="66"/>
      <c r="AU864" s="66"/>
      <c r="AV864" s="69"/>
      <c r="AW864" s="69"/>
      <c r="AX864" s="69"/>
      <c r="AY864" s="69"/>
      <c r="AZ864" s="69"/>
      <c r="BA864" s="69"/>
      <c r="BB864" s="69"/>
      <c r="BC864" s="69"/>
      <c r="BD864" s="69"/>
      <c r="BE864" s="69"/>
      <c r="BF864" s="55"/>
      <c r="BG864" s="70"/>
      <c r="BH864" s="63">
        <f t="shared" si="38"/>
        <v>0</v>
      </c>
      <c r="BI864" s="63"/>
      <c r="BJ864" s="70"/>
      <c r="BK864" s="70"/>
      <c r="BL864" s="63"/>
      <c r="BM864" s="71"/>
      <c r="BN864" s="71"/>
      <c r="BO864" s="71"/>
    </row>
    <row r="865" spans="2:67" ht="18.95" customHeight="1">
      <c r="B865" s="51" t="s">
        <v>92</v>
      </c>
      <c r="C865" s="52" t="s">
        <v>1050</v>
      </c>
      <c r="D865" s="53"/>
      <c r="E865" s="199"/>
      <c r="F865" s="66"/>
      <c r="G865" s="66"/>
      <c r="H865" s="66"/>
      <c r="I865" s="66"/>
      <c r="J865" s="66"/>
      <c r="K865" s="66"/>
      <c r="L865" s="66"/>
      <c r="M865" s="66"/>
      <c r="N865" s="67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8"/>
      <c r="AS865" s="66"/>
      <c r="AT865" s="66"/>
      <c r="AU865" s="66"/>
      <c r="AV865" s="69"/>
      <c r="AW865" s="69"/>
      <c r="AX865" s="69"/>
      <c r="AY865" s="69"/>
      <c r="AZ865" s="69"/>
      <c r="BA865" s="69"/>
      <c r="BB865" s="69"/>
      <c r="BC865" s="69"/>
      <c r="BD865" s="69"/>
      <c r="BE865" s="69"/>
      <c r="BF865" s="55"/>
      <c r="BG865" s="70"/>
      <c r="BH865" s="63">
        <f t="shared" si="38"/>
        <v>0</v>
      </c>
      <c r="BI865" s="63"/>
      <c r="BJ865" s="70"/>
      <c r="BK865" s="70"/>
      <c r="BL865" s="63"/>
      <c r="BM865" s="71"/>
      <c r="BN865" s="71"/>
      <c r="BO865" s="71"/>
    </row>
    <row r="866" spans="2:67" ht="18.95" customHeight="1">
      <c r="B866" s="51" t="s">
        <v>94</v>
      </c>
      <c r="C866" s="52" t="s">
        <v>1050</v>
      </c>
      <c r="D866" s="53"/>
      <c r="E866" s="199"/>
      <c r="F866" s="66"/>
      <c r="G866" s="66"/>
      <c r="H866" s="66"/>
      <c r="I866" s="66"/>
      <c r="J866" s="66"/>
      <c r="K866" s="66"/>
      <c r="L866" s="66"/>
      <c r="M866" s="66"/>
      <c r="N866" s="67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8"/>
      <c r="AS866" s="66"/>
      <c r="AT866" s="66"/>
      <c r="AU866" s="66"/>
      <c r="AV866" s="69"/>
      <c r="AW866" s="69"/>
      <c r="AX866" s="69"/>
      <c r="AY866" s="69"/>
      <c r="AZ866" s="69"/>
      <c r="BA866" s="69"/>
      <c r="BB866" s="69"/>
      <c r="BC866" s="69"/>
      <c r="BD866" s="69"/>
      <c r="BE866" s="69"/>
      <c r="BF866" s="55"/>
      <c r="BG866" s="70"/>
      <c r="BH866" s="63">
        <f t="shared" si="38"/>
        <v>0</v>
      </c>
      <c r="BI866" s="63"/>
      <c r="BJ866" s="70"/>
      <c r="BK866" s="70"/>
      <c r="BL866" s="63"/>
      <c r="BM866" s="71"/>
      <c r="BN866" s="71"/>
      <c r="BO866" s="71"/>
    </row>
    <row r="867" spans="2:67" ht="18.95" customHeight="1">
      <c r="B867" s="51" t="s">
        <v>96</v>
      </c>
      <c r="C867" s="52" t="s">
        <v>1050</v>
      </c>
      <c r="D867" s="53"/>
      <c r="E867" s="199"/>
      <c r="F867" s="66"/>
      <c r="G867" s="66"/>
      <c r="H867" s="66"/>
      <c r="I867" s="66"/>
      <c r="J867" s="66"/>
      <c r="K867" s="66"/>
      <c r="L867" s="66"/>
      <c r="M867" s="66"/>
      <c r="N867" s="67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8"/>
      <c r="AS867" s="66"/>
      <c r="AT867" s="66"/>
      <c r="AU867" s="66"/>
      <c r="AV867" s="69"/>
      <c r="AW867" s="69"/>
      <c r="AX867" s="69"/>
      <c r="AY867" s="69"/>
      <c r="AZ867" s="69"/>
      <c r="BA867" s="69"/>
      <c r="BB867" s="69"/>
      <c r="BC867" s="69"/>
      <c r="BD867" s="69"/>
      <c r="BE867" s="69"/>
      <c r="BF867" s="55"/>
      <c r="BG867" s="70"/>
      <c r="BH867" s="63">
        <f t="shared" si="38"/>
        <v>0</v>
      </c>
      <c r="BI867" s="63"/>
      <c r="BJ867" s="70"/>
      <c r="BK867" s="70"/>
      <c r="BL867" s="63"/>
      <c r="BM867" s="71"/>
      <c r="BN867" s="71"/>
      <c r="BO867" s="71"/>
    </row>
    <row r="868" spans="2:67" ht="18.95" customHeight="1">
      <c r="B868" s="51" t="s">
        <v>98</v>
      </c>
      <c r="C868" s="52" t="s">
        <v>1050</v>
      </c>
      <c r="D868" s="53"/>
      <c r="E868" s="200"/>
      <c r="F868" s="66"/>
      <c r="G868" s="66"/>
      <c r="H868" s="66"/>
      <c r="I868" s="66"/>
      <c r="J868" s="66"/>
      <c r="K868" s="66"/>
      <c r="L868" s="66"/>
      <c r="M868" s="66"/>
      <c r="N868" s="67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8"/>
      <c r="AS868" s="66"/>
      <c r="AT868" s="66"/>
      <c r="AU868" s="66"/>
      <c r="AV868" s="69"/>
      <c r="AW868" s="69"/>
      <c r="AX868" s="69"/>
      <c r="AY868" s="69"/>
      <c r="AZ868" s="69"/>
      <c r="BA868" s="69"/>
      <c r="BB868" s="69"/>
      <c r="BC868" s="69"/>
      <c r="BD868" s="69"/>
      <c r="BE868" s="69"/>
      <c r="BF868" s="55"/>
      <c r="BG868" s="70"/>
      <c r="BH868" s="63">
        <f t="shared" si="38"/>
        <v>0</v>
      </c>
      <c r="BI868" s="63"/>
      <c r="BJ868" s="70"/>
      <c r="BK868" s="70"/>
      <c r="BL868" s="63"/>
      <c r="BM868" s="71"/>
      <c r="BN868" s="71"/>
      <c r="BO868" s="71"/>
    </row>
    <row r="869" spans="2:67" ht="18.95" customHeight="1">
      <c r="B869" s="51" t="s">
        <v>100</v>
      </c>
      <c r="C869" s="52" t="s">
        <v>1050</v>
      </c>
      <c r="D869" s="53"/>
      <c r="E869" s="200"/>
      <c r="F869" s="66"/>
      <c r="G869" s="66"/>
      <c r="H869" s="66"/>
      <c r="I869" s="66"/>
      <c r="J869" s="66"/>
      <c r="K869" s="66"/>
      <c r="L869" s="66"/>
      <c r="M869" s="66"/>
      <c r="N869" s="67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8"/>
      <c r="AS869" s="66"/>
      <c r="AT869" s="66"/>
      <c r="AU869" s="66"/>
      <c r="AV869" s="69"/>
      <c r="AW869" s="69"/>
      <c r="AX869" s="69"/>
      <c r="AY869" s="69"/>
      <c r="AZ869" s="69"/>
      <c r="BA869" s="69"/>
      <c r="BB869" s="69"/>
      <c r="BC869" s="69"/>
      <c r="BD869" s="69"/>
      <c r="BE869" s="69"/>
      <c r="BF869" s="55"/>
      <c r="BG869" s="70"/>
      <c r="BH869" s="63">
        <f t="shared" si="38"/>
        <v>0</v>
      </c>
      <c r="BI869" s="63"/>
      <c r="BJ869" s="70"/>
      <c r="BK869" s="70"/>
      <c r="BL869" s="63"/>
      <c r="BM869" s="71"/>
      <c r="BN869" s="71"/>
      <c r="BO869" s="71"/>
    </row>
    <row r="870" spans="2:67" ht="18.95" customHeight="1">
      <c r="B870" s="51" t="s">
        <v>102</v>
      </c>
      <c r="C870" s="52" t="s">
        <v>1050</v>
      </c>
      <c r="D870" s="53"/>
      <c r="E870" s="201"/>
      <c r="F870" s="66"/>
      <c r="G870" s="66"/>
      <c r="H870" s="66"/>
      <c r="I870" s="66"/>
      <c r="J870" s="66"/>
      <c r="K870" s="66"/>
      <c r="L870" s="66"/>
      <c r="M870" s="66"/>
      <c r="N870" s="67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8"/>
      <c r="AS870" s="66"/>
      <c r="AT870" s="66"/>
      <c r="AU870" s="66"/>
      <c r="AV870" s="69"/>
      <c r="AW870" s="69"/>
      <c r="AX870" s="69"/>
      <c r="AY870" s="69"/>
      <c r="AZ870" s="69"/>
      <c r="BA870" s="69"/>
      <c r="BB870" s="69"/>
      <c r="BC870" s="69"/>
      <c r="BD870" s="69"/>
      <c r="BE870" s="69"/>
      <c r="BF870" s="55"/>
      <c r="BG870" s="70"/>
      <c r="BH870" s="63">
        <f t="shared" si="38"/>
        <v>0</v>
      </c>
      <c r="BI870" s="63"/>
      <c r="BJ870" s="70"/>
      <c r="BK870" s="70"/>
      <c r="BL870" s="63"/>
      <c r="BM870" s="71"/>
      <c r="BN870" s="71"/>
      <c r="BO870" s="71"/>
    </row>
    <row r="871" spans="2:67" ht="18.95" customHeight="1">
      <c r="B871" s="51" t="s">
        <v>104</v>
      </c>
      <c r="C871" s="52" t="s">
        <v>1050</v>
      </c>
      <c r="D871" s="53"/>
      <c r="E871" s="200"/>
      <c r="F871" s="66"/>
      <c r="G871" s="66"/>
      <c r="H871" s="66"/>
      <c r="I871" s="66"/>
      <c r="J871" s="66"/>
      <c r="K871" s="66"/>
      <c r="L871" s="66"/>
      <c r="M871" s="66"/>
      <c r="N871" s="67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8"/>
      <c r="AS871" s="66"/>
      <c r="AT871" s="66"/>
      <c r="AU871" s="66"/>
      <c r="AV871" s="69"/>
      <c r="AW871" s="69"/>
      <c r="AX871" s="69"/>
      <c r="AY871" s="69"/>
      <c r="AZ871" s="69"/>
      <c r="BA871" s="69"/>
      <c r="BB871" s="69"/>
      <c r="BC871" s="69"/>
      <c r="BD871" s="69"/>
      <c r="BE871" s="69"/>
      <c r="BF871" s="55"/>
      <c r="BG871" s="70"/>
      <c r="BH871" s="63">
        <f t="shared" si="38"/>
        <v>0</v>
      </c>
      <c r="BI871" s="63"/>
      <c r="BJ871" s="70"/>
      <c r="BK871" s="70"/>
      <c r="BL871" s="63"/>
      <c r="BM871" s="71"/>
      <c r="BN871" s="71"/>
      <c r="BO871" s="71"/>
    </row>
    <row r="872" spans="2:67" ht="18.95" customHeight="1">
      <c r="B872" s="51" t="s">
        <v>106</v>
      </c>
      <c r="C872" s="52" t="s">
        <v>1050</v>
      </c>
      <c r="D872" s="53"/>
      <c r="E872" s="197"/>
      <c r="F872" s="66"/>
      <c r="G872" s="66"/>
      <c r="H872" s="66"/>
      <c r="I872" s="66"/>
      <c r="J872" s="66"/>
      <c r="K872" s="66"/>
      <c r="L872" s="66"/>
      <c r="M872" s="66"/>
      <c r="N872" s="67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8"/>
      <c r="AS872" s="66"/>
      <c r="AT872" s="66"/>
      <c r="AU872" s="66"/>
      <c r="AV872" s="69"/>
      <c r="AW872" s="69"/>
      <c r="AX872" s="69"/>
      <c r="AY872" s="69"/>
      <c r="AZ872" s="69"/>
      <c r="BA872" s="69"/>
      <c r="BB872" s="69"/>
      <c r="BC872" s="69"/>
      <c r="BD872" s="69"/>
      <c r="BE872" s="69"/>
      <c r="BF872" s="55"/>
      <c r="BG872" s="70"/>
      <c r="BH872" s="63">
        <f t="shared" si="38"/>
        <v>0</v>
      </c>
      <c r="BI872" s="63"/>
      <c r="BJ872" s="70"/>
      <c r="BK872" s="70"/>
      <c r="BL872" s="63"/>
      <c r="BM872" s="71"/>
      <c r="BN872" s="71"/>
      <c r="BO872" s="71"/>
    </row>
    <row r="873" spans="2:67" ht="18.95" customHeight="1">
      <c r="B873" s="51" t="s">
        <v>108</v>
      </c>
      <c r="C873" s="52" t="s">
        <v>1050</v>
      </c>
      <c r="D873" s="53"/>
      <c r="E873" s="202"/>
      <c r="F873" s="66"/>
      <c r="G873" s="66"/>
      <c r="H873" s="66"/>
      <c r="I873" s="66"/>
      <c r="J873" s="66"/>
      <c r="K873" s="66"/>
      <c r="L873" s="66"/>
      <c r="M873" s="66"/>
      <c r="N873" s="67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8"/>
      <c r="AS873" s="66"/>
      <c r="AT873" s="66"/>
      <c r="AU873" s="66"/>
      <c r="AV873" s="69"/>
      <c r="AW873" s="69"/>
      <c r="AX873" s="69"/>
      <c r="AY873" s="69"/>
      <c r="AZ873" s="69"/>
      <c r="BA873" s="69"/>
      <c r="BB873" s="69"/>
      <c r="BC873" s="69"/>
      <c r="BD873" s="69"/>
      <c r="BE873" s="69"/>
      <c r="BF873" s="55"/>
      <c r="BG873" s="70"/>
      <c r="BH873" s="63">
        <f t="shared" si="38"/>
        <v>0</v>
      </c>
      <c r="BI873" s="63"/>
      <c r="BJ873" s="70"/>
      <c r="BK873" s="70"/>
      <c r="BL873" s="63"/>
      <c r="BM873" s="71"/>
      <c r="BN873" s="71"/>
      <c r="BO873" s="71"/>
    </row>
    <row r="874" spans="2:67" ht="18.95" customHeight="1">
      <c r="B874" s="51" t="s">
        <v>110</v>
      </c>
      <c r="C874" s="52" t="s">
        <v>1050</v>
      </c>
      <c r="D874" s="53"/>
      <c r="E874" s="200"/>
      <c r="F874" s="66"/>
      <c r="G874" s="66"/>
      <c r="H874" s="66"/>
      <c r="I874" s="66"/>
      <c r="J874" s="66"/>
      <c r="K874" s="66"/>
      <c r="L874" s="66"/>
      <c r="M874" s="66"/>
      <c r="N874" s="67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8"/>
      <c r="AS874" s="66"/>
      <c r="AT874" s="66"/>
      <c r="AU874" s="66"/>
      <c r="AV874" s="69"/>
      <c r="AW874" s="69"/>
      <c r="AX874" s="69"/>
      <c r="AY874" s="69"/>
      <c r="AZ874" s="69"/>
      <c r="BA874" s="69"/>
      <c r="BB874" s="69"/>
      <c r="BC874" s="69"/>
      <c r="BD874" s="69"/>
      <c r="BE874" s="69"/>
      <c r="BF874" s="55"/>
      <c r="BG874" s="70"/>
      <c r="BH874" s="63">
        <f t="shared" si="38"/>
        <v>0</v>
      </c>
      <c r="BI874" s="63"/>
      <c r="BJ874" s="70"/>
      <c r="BK874" s="70"/>
      <c r="BL874" s="63"/>
      <c r="BM874" s="71"/>
      <c r="BN874" s="71"/>
      <c r="BO874" s="71"/>
    </row>
    <row r="875" spans="2:67" ht="18.95" customHeight="1">
      <c r="B875" s="51" t="s">
        <v>112</v>
      </c>
      <c r="C875" s="52" t="s">
        <v>1050</v>
      </c>
      <c r="D875" s="53"/>
      <c r="E875" s="200"/>
      <c r="F875" s="66"/>
      <c r="G875" s="66"/>
      <c r="H875" s="66"/>
      <c r="I875" s="66"/>
      <c r="J875" s="66"/>
      <c r="K875" s="66"/>
      <c r="L875" s="66"/>
      <c r="M875" s="66"/>
      <c r="N875" s="67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8"/>
      <c r="AS875" s="66"/>
      <c r="AT875" s="66"/>
      <c r="AU875" s="66"/>
      <c r="AV875" s="69"/>
      <c r="AW875" s="69"/>
      <c r="AX875" s="69"/>
      <c r="AY875" s="69"/>
      <c r="AZ875" s="69"/>
      <c r="BA875" s="69"/>
      <c r="BB875" s="69"/>
      <c r="BC875" s="69"/>
      <c r="BD875" s="69"/>
      <c r="BE875" s="69"/>
      <c r="BF875" s="55"/>
      <c r="BG875" s="70"/>
      <c r="BH875" s="63">
        <f t="shared" si="38"/>
        <v>0</v>
      </c>
      <c r="BI875" s="63"/>
      <c r="BJ875" s="70"/>
      <c r="BK875" s="70"/>
      <c r="BL875" s="63"/>
      <c r="BM875" s="71"/>
      <c r="BN875" s="71"/>
      <c r="BO875" s="71"/>
    </row>
    <row r="876" spans="2:67" ht="18.95" customHeight="1">
      <c r="B876" s="51" t="s">
        <v>114</v>
      </c>
      <c r="C876" s="52" t="s">
        <v>1050</v>
      </c>
      <c r="D876" s="53"/>
      <c r="E876" s="153"/>
      <c r="F876" s="66"/>
      <c r="G876" s="66"/>
      <c r="H876" s="66"/>
      <c r="I876" s="66"/>
      <c r="J876" s="66"/>
      <c r="K876" s="66"/>
      <c r="L876" s="66"/>
      <c r="M876" s="66"/>
      <c r="N876" s="67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  <c r="AO876" s="66"/>
      <c r="AP876" s="66"/>
      <c r="AQ876" s="66"/>
      <c r="AR876" s="68"/>
      <c r="AS876" s="66"/>
      <c r="AT876" s="66"/>
      <c r="AU876" s="66"/>
      <c r="AV876" s="69"/>
      <c r="AW876" s="69"/>
      <c r="AX876" s="69"/>
      <c r="AY876" s="69"/>
      <c r="AZ876" s="69"/>
      <c r="BA876" s="69"/>
      <c r="BB876" s="69"/>
      <c r="BC876" s="69"/>
      <c r="BD876" s="69"/>
      <c r="BE876" s="69"/>
      <c r="BF876" s="55"/>
      <c r="BG876" s="70"/>
      <c r="BH876" s="63">
        <f t="shared" si="38"/>
        <v>0</v>
      </c>
      <c r="BI876" s="63"/>
      <c r="BJ876" s="70"/>
      <c r="BK876" s="70"/>
      <c r="BL876" s="63"/>
      <c r="BM876" s="71"/>
      <c r="BN876" s="71"/>
      <c r="BO876" s="71"/>
    </row>
    <row r="877" spans="2:67" ht="18.95" customHeight="1">
      <c r="B877" s="51" t="s">
        <v>116</v>
      </c>
      <c r="C877" s="52" t="s">
        <v>1050</v>
      </c>
      <c r="D877" s="53"/>
      <c r="E877" s="153"/>
      <c r="F877" s="66"/>
      <c r="G877" s="66"/>
      <c r="H877" s="66"/>
      <c r="I877" s="66"/>
      <c r="J877" s="66"/>
      <c r="K877" s="66"/>
      <c r="L877" s="66"/>
      <c r="M877" s="66"/>
      <c r="N877" s="67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8"/>
      <c r="AS877" s="66"/>
      <c r="AT877" s="66"/>
      <c r="AU877" s="66"/>
      <c r="AV877" s="69"/>
      <c r="AW877" s="69"/>
      <c r="AX877" s="69"/>
      <c r="AY877" s="69"/>
      <c r="AZ877" s="69"/>
      <c r="BA877" s="69"/>
      <c r="BB877" s="69"/>
      <c r="BC877" s="69"/>
      <c r="BD877" s="69"/>
      <c r="BE877" s="69"/>
      <c r="BF877" s="55"/>
      <c r="BG877" s="70"/>
      <c r="BH877" s="63">
        <f t="shared" si="38"/>
        <v>0</v>
      </c>
      <c r="BI877" s="63"/>
      <c r="BJ877" s="70"/>
      <c r="BK877" s="70"/>
      <c r="BL877" s="63"/>
      <c r="BM877" s="71"/>
      <c r="BN877" s="71"/>
      <c r="BO877" s="71"/>
    </row>
    <row r="878" spans="2:67" ht="18.95" customHeight="1">
      <c r="B878" s="51" t="s">
        <v>118</v>
      </c>
      <c r="C878" s="52" t="s">
        <v>1050</v>
      </c>
      <c r="D878" s="53"/>
      <c r="E878" s="153"/>
      <c r="F878" s="66"/>
      <c r="G878" s="66"/>
      <c r="H878" s="66"/>
      <c r="I878" s="66"/>
      <c r="J878" s="66"/>
      <c r="K878" s="66"/>
      <c r="L878" s="66"/>
      <c r="M878" s="66"/>
      <c r="N878" s="67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  <c r="AO878" s="66"/>
      <c r="AP878" s="66"/>
      <c r="AQ878" s="66"/>
      <c r="AR878" s="68"/>
      <c r="AS878" s="66"/>
      <c r="AT878" s="66"/>
      <c r="AU878" s="66"/>
      <c r="AV878" s="69"/>
      <c r="AW878" s="69"/>
      <c r="AX878" s="69"/>
      <c r="AY878" s="69"/>
      <c r="AZ878" s="69"/>
      <c r="BA878" s="69"/>
      <c r="BB878" s="69"/>
      <c r="BC878" s="69"/>
      <c r="BD878" s="69"/>
      <c r="BE878" s="69"/>
      <c r="BF878" s="55"/>
      <c r="BG878" s="70"/>
      <c r="BH878" s="63">
        <f t="shared" si="38"/>
        <v>0</v>
      </c>
      <c r="BI878" s="63"/>
      <c r="BJ878" s="70"/>
      <c r="BK878" s="70"/>
      <c r="BL878" s="63"/>
      <c r="BM878" s="71"/>
      <c r="BN878" s="71"/>
      <c r="BO878" s="71"/>
    </row>
    <row r="879" spans="2:67" ht="18.95" customHeight="1">
      <c r="B879" s="51" t="s">
        <v>120</v>
      </c>
      <c r="C879" s="52" t="s">
        <v>1050</v>
      </c>
      <c r="D879" s="53"/>
      <c r="E879" s="153"/>
      <c r="F879" s="66"/>
      <c r="G879" s="66"/>
      <c r="H879" s="66"/>
      <c r="I879" s="66"/>
      <c r="J879" s="66"/>
      <c r="K879" s="66"/>
      <c r="L879" s="66"/>
      <c r="M879" s="66"/>
      <c r="N879" s="67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8"/>
      <c r="AS879" s="66"/>
      <c r="AT879" s="66"/>
      <c r="AU879" s="66"/>
      <c r="AV879" s="69"/>
      <c r="AW879" s="69"/>
      <c r="AX879" s="69"/>
      <c r="AY879" s="69"/>
      <c r="AZ879" s="69"/>
      <c r="BA879" s="69"/>
      <c r="BB879" s="69"/>
      <c r="BC879" s="69"/>
      <c r="BD879" s="69"/>
      <c r="BE879" s="69"/>
      <c r="BF879" s="55"/>
      <c r="BG879" s="70"/>
      <c r="BH879" s="63">
        <f t="shared" si="38"/>
        <v>0</v>
      </c>
      <c r="BI879" s="63"/>
      <c r="BJ879" s="70"/>
      <c r="BK879" s="70"/>
      <c r="BL879" s="63"/>
      <c r="BM879" s="71"/>
      <c r="BN879" s="71"/>
      <c r="BO879" s="71"/>
    </row>
    <row r="880" spans="2:67" ht="18.95" customHeight="1">
      <c r="B880" s="51" t="s">
        <v>122</v>
      </c>
      <c r="C880" s="52" t="s">
        <v>1050</v>
      </c>
      <c r="D880" s="53"/>
      <c r="E880" s="153"/>
      <c r="F880" s="66"/>
      <c r="G880" s="66"/>
      <c r="H880" s="66"/>
      <c r="I880" s="66"/>
      <c r="J880" s="66"/>
      <c r="K880" s="66"/>
      <c r="L880" s="66"/>
      <c r="M880" s="66"/>
      <c r="N880" s="67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75"/>
      <c r="AM880" s="66"/>
      <c r="AN880" s="66"/>
      <c r="AO880" s="66"/>
      <c r="AP880" s="66"/>
      <c r="AQ880" s="66"/>
      <c r="AR880" s="68"/>
      <c r="AS880" s="66"/>
      <c r="AT880" s="66"/>
      <c r="AU880" s="66"/>
      <c r="AV880" s="69"/>
      <c r="AW880" s="69"/>
      <c r="AX880" s="69"/>
      <c r="AY880" s="69"/>
      <c r="AZ880" s="69"/>
      <c r="BA880" s="69"/>
      <c r="BB880" s="69"/>
      <c r="BC880" s="69"/>
      <c r="BD880" s="69"/>
      <c r="BE880" s="69"/>
      <c r="BF880" s="55"/>
      <c r="BG880" s="70"/>
      <c r="BH880" s="63">
        <f t="shared" si="38"/>
        <v>0</v>
      </c>
      <c r="BI880" s="63"/>
      <c r="BJ880" s="70"/>
      <c r="BK880" s="70"/>
      <c r="BL880" s="63"/>
      <c r="BM880" s="71"/>
      <c r="BN880" s="71"/>
      <c r="BO880" s="71"/>
    </row>
    <row r="881" spans="2:67" ht="18.95" customHeight="1">
      <c r="B881" s="51" t="s">
        <v>124</v>
      </c>
      <c r="C881" s="52" t="s">
        <v>1050</v>
      </c>
      <c r="D881" s="53"/>
      <c r="E881" s="153"/>
      <c r="F881" s="66"/>
      <c r="G881" s="66"/>
      <c r="H881" s="66"/>
      <c r="I881" s="66"/>
      <c r="J881" s="66"/>
      <c r="K881" s="66"/>
      <c r="L881" s="66"/>
      <c r="M881" s="66"/>
      <c r="N881" s="67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75"/>
      <c r="AM881" s="66"/>
      <c r="AN881" s="66"/>
      <c r="AO881" s="66"/>
      <c r="AP881" s="66"/>
      <c r="AQ881" s="66"/>
      <c r="AR881" s="68"/>
      <c r="AS881" s="66"/>
      <c r="AT881" s="66"/>
      <c r="AU881" s="66"/>
      <c r="AV881" s="69"/>
      <c r="AW881" s="69"/>
      <c r="AX881" s="69"/>
      <c r="AY881" s="69"/>
      <c r="AZ881" s="69"/>
      <c r="BA881" s="69"/>
      <c r="BB881" s="69"/>
      <c r="BC881" s="69"/>
      <c r="BD881" s="69"/>
      <c r="BE881" s="69"/>
      <c r="BF881" s="55"/>
      <c r="BG881" s="70"/>
      <c r="BH881" s="63">
        <f t="shared" si="38"/>
        <v>0</v>
      </c>
      <c r="BI881" s="63"/>
      <c r="BJ881" s="70"/>
      <c r="BK881" s="70"/>
      <c r="BL881" s="63"/>
      <c r="BM881" s="71"/>
      <c r="BN881" s="71"/>
      <c r="BO881" s="71"/>
    </row>
    <row r="882" spans="2:67" ht="18.95" customHeight="1">
      <c r="B882" s="51" t="s">
        <v>126</v>
      </c>
      <c r="C882" s="52" t="s">
        <v>1050</v>
      </c>
      <c r="D882" s="53"/>
      <c r="E882" s="153"/>
      <c r="F882" s="66"/>
      <c r="G882" s="66"/>
      <c r="H882" s="66"/>
      <c r="I882" s="66"/>
      <c r="J882" s="66"/>
      <c r="K882" s="66"/>
      <c r="L882" s="66"/>
      <c r="M882" s="66"/>
      <c r="N882" s="67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8"/>
      <c r="AS882" s="66"/>
      <c r="AT882" s="66"/>
      <c r="AU882" s="66"/>
      <c r="AV882" s="69"/>
      <c r="AW882" s="69"/>
      <c r="AX882" s="69"/>
      <c r="AY882" s="69"/>
      <c r="AZ882" s="69"/>
      <c r="BA882" s="69"/>
      <c r="BB882" s="69"/>
      <c r="BC882" s="69"/>
      <c r="BD882" s="69"/>
      <c r="BE882" s="69"/>
      <c r="BF882" s="55"/>
      <c r="BG882" s="70"/>
      <c r="BH882" s="63">
        <f t="shared" si="38"/>
        <v>0</v>
      </c>
      <c r="BI882" s="63"/>
      <c r="BJ882" s="70"/>
      <c r="BK882" s="70"/>
      <c r="BL882" s="63"/>
      <c r="BM882" s="71"/>
      <c r="BN882" s="65"/>
      <c r="BO882" s="65"/>
    </row>
    <row r="883" spans="2:67" ht="18.95" customHeight="1">
      <c r="B883" s="51" t="s">
        <v>128</v>
      </c>
      <c r="C883" s="52" t="s">
        <v>1050</v>
      </c>
      <c r="D883" s="53"/>
      <c r="E883" s="199"/>
      <c r="F883" s="55"/>
      <c r="G883" s="66"/>
      <c r="H883" s="66"/>
      <c r="I883" s="66"/>
      <c r="J883" s="66"/>
      <c r="K883" s="66"/>
      <c r="L883" s="66"/>
      <c r="M883" s="66"/>
      <c r="N883" s="67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75"/>
      <c r="AM883" s="66"/>
      <c r="AN883" s="66"/>
      <c r="AO883" s="66"/>
      <c r="AP883" s="66"/>
      <c r="AQ883" s="66"/>
      <c r="AR883" s="68"/>
      <c r="AS883" s="66"/>
      <c r="AT883" s="66"/>
      <c r="AU883" s="66"/>
      <c r="AV883" s="69"/>
      <c r="AW883" s="69"/>
      <c r="AX883" s="69"/>
      <c r="AY883" s="69"/>
      <c r="AZ883" s="69"/>
      <c r="BA883" s="69"/>
      <c r="BB883" s="69"/>
      <c r="BC883" s="69"/>
      <c r="BD883" s="69"/>
      <c r="BE883" s="69"/>
      <c r="BF883" s="55"/>
      <c r="BG883" s="70"/>
      <c r="BH883" s="63">
        <f t="shared" si="38"/>
        <v>0</v>
      </c>
      <c r="BI883" s="63"/>
      <c r="BJ883" s="70"/>
      <c r="BK883" s="70"/>
      <c r="BL883" s="63"/>
      <c r="BM883" s="71"/>
      <c r="BN883" s="65"/>
      <c r="BO883" s="65"/>
    </row>
    <row r="884" spans="2:67" ht="18.95" customHeight="1">
      <c r="B884" s="51" t="s">
        <v>130</v>
      </c>
      <c r="C884" s="52" t="s">
        <v>1050</v>
      </c>
      <c r="D884" s="53"/>
      <c r="E884" s="153"/>
      <c r="F884" s="66"/>
      <c r="G884" s="66"/>
      <c r="H884" s="66"/>
      <c r="I884" s="66"/>
      <c r="J884" s="66"/>
      <c r="K884" s="66"/>
      <c r="L884" s="66"/>
      <c r="M884" s="66"/>
      <c r="N884" s="67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8"/>
      <c r="AS884" s="66"/>
      <c r="AT884" s="66"/>
      <c r="AU884" s="66"/>
      <c r="AV884" s="69"/>
      <c r="AW884" s="69"/>
      <c r="AX884" s="69"/>
      <c r="AY884" s="69"/>
      <c r="AZ884" s="69"/>
      <c r="BA884" s="69"/>
      <c r="BB884" s="69"/>
      <c r="BC884" s="69"/>
      <c r="BD884" s="69"/>
      <c r="BE884" s="69"/>
      <c r="BF884" s="55"/>
      <c r="BG884" s="70"/>
      <c r="BH884" s="63">
        <f t="shared" si="38"/>
        <v>0</v>
      </c>
      <c r="BI884" s="63"/>
      <c r="BJ884" s="70"/>
      <c r="BK884" s="70"/>
      <c r="BL884" s="63"/>
      <c r="BM884" s="71"/>
      <c r="BN884" s="71"/>
      <c r="BO884" s="71"/>
    </row>
    <row r="885" spans="2:67" ht="18.95" customHeight="1">
      <c r="B885" s="51" t="s">
        <v>132</v>
      </c>
      <c r="C885" s="52" t="s">
        <v>1050</v>
      </c>
      <c r="D885" s="53"/>
      <c r="E885" s="154"/>
      <c r="F885" s="55"/>
      <c r="G885" s="55"/>
      <c r="H885" s="55"/>
      <c r="I885" s="55"/>
      <c r="J885" s="55"/>
      <c r="K885" s="55"/>
      <c r="L885" s="55"/>
      <c r="M885" s="55"/>
      <c r="N885" s="56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76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70"/>
      <c r="BH885" s="63">
        <f t="shared" si="38"/>
        <v>0</v>
      </c>
      <c r="BI885" s="63"/>
      <c r="BJ885" s="70"/>
      <c r="BK885" s="70"/>
      <c r="BL885" s="63"/>
      <c r="BM885" s="71"/>
      <c r="BN885" s="65"/>
      <c r="BO885" s="65"/>
    </row>
    <row r="886" spans="2:67">
      <c r="B886" s="87"/>
      <c r="C886" s="87"/>
      <c r="D886" s="87"/>
      <c r="E886" s="87"/>
    </row>
    <row r="887" spans="2:67">
      <c r="B887" s="87"/>
      <c r="C887" s="87"/>
      <c r="D887" s="87"/>
      <c r="E887" s="87"/>
    </row>
    <row r="888" spans="2:67">
      <c r="B888" s="87"/>
      <c r="C888" s="87"/>
      <c r="D888" s="87"/>
      <c r="E888" s="87"/>
    </row>
    <row r="889" spans="2:67">
      <c r="B889" s="87"/>
      <c r="C889" s="87"/>
      <c r="D889" s="87"/>
      <c r="E889" s="87"/>
    </row>
    <row r="890" spans="2:67">
      <c r="B890" s="87"/>
      <c r="C890" s="87"/>
      <c r="D890" s="87"/>
      <c r="E890" s="87"/>
    </row>
    <row r="891" spans="2:67">
      <c r="B891" s="87"/>
      <c r="C891" s="87"/>
      <c r="D891" s="87"/>
      <c r="E891" s="87"/>
    </row>
    <row r="892" spans="2:67">
      <c r="B892" s="87"/>
      <c r="C892" s="87"/>
      <c r="D892" s="87"/>
      <c r="E892" s="87"/>
    </row>
    <row r="893" spans="2:67">
      <c r="B893" s="87"/>
      <c r="C893" s="87"/>
      <c r="D893" s="87"/>
      <c r="E893" s="87"/>
    </row>
    <row r="894" spans="2:67">
      <c r="B894" s="87"/>
      <c r="C894" s="87"/>
      <c r="D894" s="87"/>
      <c r="E894" s="87"/>
    </row>
    <row r="895" spans="2:67">
      <c r="B895" s="87"/>
      <c r="C895" s="87"/>
      <c r="D895" s="87"/>
      <c r="E895" s="87"/>
    </row>
    <row r="896" spans="2:67">
      <c r="B896" s="87"/>
      <c r="C896" s="87"/>
      <c r="D896" s="87"/>
      <c r="E896" s="87"/>
    </row>
    <row r="897" spans="1:67">
      <c r="B897" s="87"/>
      <c r="C897" s="87"/>
      <c r="D897" s="87"/>
      <c r="E897" s="87"/>
    </row>
    <row r="898" spans="1:67">
      <c r="B898" s="2" t="s">
        <v>1</v>
      </c>
      <c r="C898" s="2"/>
      <c r="D898" s="2"/>
      <c r="E898" s="2"/>
      <c r="F898" s="3"/>
      <c r="G898" s="4"/>
      <c r="H898" s="4"/>
      <c r="I898" s="4"/>
      <c r="J898" s="4"/>
      <c r="K898" s="4"/>
      <c r="L898" s="4"/>
      <c r="M898" s="4"/>
      <c r="N898" s="107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5"/>
      <c r="AF898" s="5"/>
      <c r="AG898" s="5"/>
      <c r="AH898" s="5"/>
      <c r="AI898" s="5"/>
      <c r="AJ898" s="5"/>
      <c r="AK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7"/>
      <c r="BI898" s="7"/>
      <c r="BJ898" s="5"/>
      <c r="BK898" s="5"/>
      <c r="BM898" s="5"/>
      <c r="BN898" s="5"/>
      <c r="BO898" s="5"/>
    </row>
    <row r="899" spans="1:67" ht="18.75" customHeight="1">
      <c r="B899" s="2"/>
      <c r="C899" s="2"/>
      <c r="D899" s="2"/>
      <c r="E899" s="2"/>
      <c r="F899" s="1" t="s">
        <v>0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9" t="s">
        <v>1051</v>
      </c>
      <c r="BG899" s="10"/>
      <c r="BH899" s="10"/>
      <c r="BI899" s="10"/>
      <c r="BJ899" s="10"/>
      <c r="BK899" s="10"/>
      <c r="BL899" s="10"/>
      <c r="BM899" s="10"/>
      <c r="BN899" s="10"/>
      <c r="BO899" s="11"/>
    </row>
    <row r="900" spans="1:67">
      <c r="B900" s="12"/>
      <c r="C900" s="12"/>
      <c r="D900" s="12"/>
      <c r="E900" s="12"/>
      <c r="F900" s="13"/>
      <c r="G900" s="14" t="s">
        <v>1052</v>
      </c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6"/>
      <c r="AM900" s="15"/>
      <c r="AN900" s="15"/>
      <c r="AO900" s="15"/>
      <c r="AP900" s="15"/>
      <c r="AQ900" s="15"/>
      <c r="AR900" s="17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8"/>
      <c r="BM900" s="15"/>
      <c r="BN900" s="15"/>
      <c r="BO900" s="15"/>
    </row>
    <row r="901" spans="1:67" ht="15">
      <c r="B901" s="19" t="s">
        <v>4</v>
      </c>
      <c r="C901" s="20" t="s">
        <v>5</v>
      </c>
      <c r="D901" s="20"/>
      <c r="E901" s="21" t="s">
        <v>6</v>
      </c>
      <c r="F901" s="110" t="s">
        <v>135</v>
      </c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/>
      <c r="BB901" s="111"/>
      <c r="BC901" s="111"/>
      <c r="BD901" s="111"/>
      <c r="BE901" s="111"/>
      <c r="BF901" s="24" t="s">
        <v>8</v>
      </c>
      <c r="BG901" s="25"/>
      <c r="BH901" s="25"/>
      <c r="BI901" s="26"/>
      <c r="BJ901" s="31" t="s">
        <v>9</v>
      </c>
      <c r="BK901" s="32"/>
      <c r="BL901" s="29"/>
      <c r="BM901" s="30"/>
      <c r="BN901" s="31" t="s">
        <v>10</v>
      </c>
      <c r="BO901" s="32"/>
    </row>
    <row r="902" spans="1:67" ht="120">
      <c r="B902" s="33"/>
      <c r="C902" s="34" t="s">
        <v>11</v>
      </c>
      <c r="D902" s="35" t="s">
        <v>4</v>
      </c>
      <c r="E902" s="35" t="s">
        <v>12</v>
      </c>
      <c r="F902" s="36" t="s">
        <v>13</v>
      </c>
      <c r="G902" s="36" t="s">
        <v>14</v>
      </c>
      <c r="H902" s="36" t="s">
        <v>15</v>
      </c>
      <c r="I902" s="36" t="s">
        <v>16</v>
      </c>
      <c r="J902" s="36" t="s">
        <v>17</v>
      </c>
      <c r="K902" s="36" t="s">
        <v>18</v>
      </c>
      <c r="L902" s="36" t="s">
        <v>19</v>
      </c>
      <c r="M902" s="36" t="s">
        <v>20</v>
      </c>
      <c r="N902" s="37" t="s">
        <v>21</v>
      </c>
      <c r="O902" s="36" t="s">
        <v>22</v>
      </c>
      <c r="P902" s="36" t="s">
        <v>23</v>
      </c>
      <c r="Q902" s="36" t="s">
        <v>24</v>
      </c>
      <c r="R902" s="36" t="s">
        <v>25</v>
      </c>
      <c r="S902" s="36" t="s">
        <v>26</v>
      </c>
      <c r="T902" s="36" t="s">
        <v>27</v>
      </c>
      <c r="U902" s="36" t="s">
        <v>28</v>
      </c>
      <c r="V902" s="36" t="s">
        <v>29</v>
      </c>
      <c r="W902" s="36" t="s">
        <v>30</v>
      </c>
      <c r="X902" s="38" t="s">
        <v>31</v>
      </c>
      <c r="Y902" s="36" t="s">
        <v>32</v>
      </c>
      <c r="Z902" s="36" t="s">
        <v>33</v>
      </c>
      <c r="AA902" s="36" t="s">
        <v>34</v>
      </c>
      <c r="AB902" s="38" t="s">
        <v>35</v>
      </c>
      <c r="AC902" s="36" t="s">
        <v>36</v>
      </c>
      <c r="AD902" s="39" t="s">
        <v>37</v>
      </c>
      <c r="AE902" s="36" t="s">
        <v>38</v>
      </c>
      <c r="AF902" s="40" t="s">
        <v>39</v>
      </c>
      <c r="AG902" s="40" t="s">
        <v>40</v>
      </c>
      <c r="AH902" s="40" t="s">
        <v>41</v>
      </c>
      <c r="AI902" s="40" t="s">
        <v>42</v>
      </c>
      <c r="AJ902" s="40" t="s">
        <v>43</v>
      </c>
      <c r="AK902" s="40" t="s">
        <v>44</v>
      </c>
      <c r="AL902" s="41" t="s">
        <v>45</v>
      </c>
      <c r="AM902" s="42" t="s">
        <v>46</v>
      </c>
      <c r="AN902" s="43" t="s">
        <v>47</v>
      </c>
      <c r="AO902" s="40" t="s">
        <v>48</v>
      </c>
      <c r="AP902" s="40" t="s">
        <v>49</v>
      </c>
      <c r="AQ902" s="40" t="s">
        <v>50</v>
      </c>
      <c r="AR902" s="44" t="s">
        <v>136</v>
      </c>
      <c r="AS902" s="36" t="s">
        <v>52</v>
      </c>
      <c r="AT902" s="36" t="s">
        <v>53</v>
      </c>
      <c r="AU902" s="36" t="s">
        <v>54</v>
      </c>
      <c r="AV902" s="36" t="s">
        <v>55</v>
      </c>
      <c r="AW902" s="36" t="s">
        <v>56</v>
      </c>
      <c r="AX902" s="36" t="s">
        <v>203</v>
      </c>
      <c r="AY902" s="36" t="s">
        <v>58</v>
      </c>
      <c r="AZ902" s="38" t="s">
        <v>59</v>
      </c>
      <c r="BA902" s="36" t="s">
        <v>60</v>
      </c>
      <c r="BB902" s="36" t="s">
        <v>61</v>
      </c>
      <c r="BC902" s="39" t="s">
        <v>62</v>
      </c>
      <c r="BD902" s="36" t="s">
        <v>63</v>
      </c>
      <c r="BE902" s="36" t="s">
        <v>64</v>
      </c>
      <c r="BF902" s="45" t="s">
        <v>65</v>
      </c>
      <c r="BG902" s="45" t="s">
        <v>66</v>
      </c>
      <c r="BH902" s="45" t="s">
        <v>67</v>
      </c>
      <c r="BI902" s="45" t="s">
        <v>68</v>
      </c>
      <c r="BJ902" s="46" t="s">
        <v>69</v>
      </c>
      <c r="BK902" s="46" t="s">
        <v>70</v>
      </c>
      <c r="BL902" s="47" t="s">
        <v>71</v>
      </c>
      <c r="BM902" s="48" t="s">
        <v>72</v>
      </c>
      <c r="BN902" s="49" t="s">
        <v>69</v>
      </c>
      <c r="BO902" s="50" t="s">
        <v>70</v>
      </c>
    </row>
    <row r="903" spans="1:67" ht="18.75" customHeight="1">
      <c r="A903" s="86">
        <v>0</v>
      </c>
      <c r="B903" s="51" t="s">
        <v>73</v>
      </c>
      <c r="C903" s="52" t="s">
        <v>1053</v>
      </c>
      <c r="D903" s="53" t="s">
        <v>73</v>
      </c>
      <c r="E903" s="148" t="s">
        <v>1054</v>
      </c>
      <c r="F903" s="55"/>
      <c r="G903" s="55"/>
      <c r="H903" s="55"/>
      <c r="I903" s="55"/>
      <c r="J903" s="55"/>
      <c r="K903" s="55"/>
      <c r="L903" s="55"/>
      <c r="M903" s="55"/>
      <c r="N903" s="56"/>
      <c r="O903" s="55"/>
      <c r="P903" s="55"/>
      <c r="Q903" s="57"/>
      <c r="R903" s="55"/>
      <c r="S903" s="58" t="s">
        <v>1055</v>
      </c>
      <c r="T903" s="58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7"/>
      <c r="AF903" s="57"/>
      <c r="AG903" s="57"/>
      <c r="AH903" s="57"/>
      <c r="AI903" s="57"/>
      <c r="AJ903" s="57"/>
      <c r="AK903" s="57"/>
      <c r="AL903" s="59"/>
      <c r="AM903" s="57"/>
      <c r="AN903" s="57"/>
      <c r="AO903" s="55"/>
      <c r="AP903" s="55"/>
      <c r="AQ903" s="57"/>
      <c r="AR903" s="60"/>
      <c r="AS903" s="57"/>
      <c r="AT903" s="57"/>
      <c r="AU903" s="57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55"/>
      <c r="BG903" s="62">
        <v>75</v>
      </c>
      <c r="BH903" s="63">
        <v>75</v>
      </c>
      <c r="BI903" s="64">
        <v>75</v>
      </c>
      <c r="BJ903" s="62"/>
      <c r="BK903" s="203">
        <f t="shared" ref="BK903:BK917" si="39">BH903-BI903</f>
        <v>0</v>
      </c>
      <c r="BL903" s="64"/>
      <c r="BM903" s="65"/>
      <c r="BN903" s="65"/>
      <c r="BO903" s="65"/>
    </row>
    <row r="904" spans="1:67" ht="18.95" customHeight="1">
      <c r="B904" s="51" t="s">
        <v>76</v>
      </c>
      <c r="C904" s="52" t="s">
        <v>1053</v>
      </c>
      <c r="D904" s="53" t="s">
        <v>76</v>
      </c>
      <c r="E904" s="204" t="s">
        <v>1056</v>
      </c>
      <c r="F904" s="66"/>
      <c r="G904" s="66"/>
      <c r="H904" s="66"/>
      <c r="I904" s="66"/>
      <c r="J904" s="66"/>
      <c r="K904" s="66"/>
      <c r="L904" s="66"/>
      <c r="M904" s="66"/>
      <c r="N904" s="67"/>
      <c r="O904" s="66"/>
      <c r="P904" s="66"/>
      <c r="Q904" s="66"/>
      <c r="R904" s="66"/>
      <c r="S904" s="66">
        <v>0</v>
      </c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8"/>
      <c r="AS904" s="66"/>
      <c r="AT904" s="66"/>
      <c r="AU904" s="66"/>
      <c r="AV904" s="69"/>
      <c r="AW904" s="69"/>
      <c r="AX904" s="69"/>
      <c r="AY904" s="69"/>
      <c r="AZ904" s="69"/>
      <c r="BA904" s="69"/>
      <c r="BB904" s="69"/>
      <c r="BC904" s="69"/>
      <c r="BD904" s="69"/>
      <c r="BE904" s="69"/>
      <c r="BF904" s="55"/>
      <c r="BG904" s="70">
        <v>70</v>
      </c>
      <c r="BH904" s="63">
        <f>SUM(F904:BG904)</f>
        <v>70</v>
      </c>
      <c r="BI904" s="63">
        <v>70</v>
      </c>
      <c r="BJ904" s="70"/>
      <c r="BK904" s="203">
        <f t="shared" si="39"/>
        <v>0</v>
      </c>
      <c r="BL904" s="63"/>
      <c r="BM904" s="71"/>
      <c r="BN904" s="71"/>
      <c r="BO904" s="72"/>
    </row>
    <row r="905" spans="1:67" ht="18.95" customHeight="1">
      <c r="B905" s="51" t="s">
        <v>78</v>
      </c>
      <c r="C905" s="52" t="s">
        <v>1053</v>
      </c>
      <c r="D905" s="53" t="s">
        <v>78</v>
      </c>
      <c r="E905" s="148" t="s">
        <v>1057</v>
      </c>
      <c r="F905" s="66"/>
      <c r="G905" s="66"/>
      <c r="H905" s="66"/>
      <c r="I905" s="66"/>
      <c r="J905" s="66"/>
      <c r="K905" s="66"/>
      <c r="L905" s="66"/>
      <c r="M905" s="66"/>
      <c r="N905" s="67"/>
      <c r="O905" s="66"/>
      <c r="P905" s="66"/>
      <c r="Q905" s="66"/>
      <c r="R905" s="66"/>
      <c r="S905" s="66">
        <v>25</v>
      </c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8"/>
      <c r="AS905" s="66"/>
      <c r="AT905" s="66"/>
      <c r="AU905" s="66"/>
      <c r="AV905" s="69"/>
      <c r="AW905" s="69"/>
      <c r="AX905" s="69"/>
      <c r="AY905" s="69"/>
      <c r="AZ905" s="69"/>
      <c r="BA905" s="69"/>
      <c r="BB905" s="69"/>
      <c r="BC905" s="69"/>
      <c r="BD905" s="69"/>
      <c r="BE905" s="69"/>
      <c r="BF905" s="55"/>
      <c r="BG905" s="70">
        <v>85</v>
      </c>
      <c r="BH905" s="63">
        <f>SUM(F905:BG905)</f>
        <v>110</v>
      </c>
      <c r="BI905" s="63">
        <v>110</v>
      </c>
      <c r="BJ905" s="70"/>
      <c r="BK905" s="203">
        <f t="shared" si="39"/>
        <v>0</v>
      </c>
      <c r="BL905" s="63"/>
      <c r="BM905" s="71"/>
      <c r="BN905" s="72"/>
      <c r="BO905" s="71"/>
    </row>
    <row r="906" spans="1:67" ht="18.75" customHeight="1">
      <c r="B906" s="51" t="s">
        <v>80</v>
      </c>
      <c r="C906" s="52" t="s">
        <v>1053</v>
      </c>
      <c r="D906" s="53" t="s">
        <v>80</v>
      </c>
      <c r="E906" s="148" t="s">
        <v>1058</v>
      </c>
      <c r="F906" s="66"/>
      <c r="G906" s="66"/>
      <c r="H906" s="66"/>
      <c r="I906" s="66"/>
      <c r="J906" s="66"/>
      <c r="K906" s="66"/>
      <c r="L906" s="66"/>
      <c r="M906" s="66"/>
      <c r="N906" s="67"/>
      <c r="O906" s="66"/>
      <c r="P906" s="66"/>
      <c r="Q906" s="66"/>
      <c r="R906" s="66"/>
      <c r="S906" s="66">
        <v>0</v>
      </c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8"/>
      <c r="AS906" s="66"/>
      <c r="AT906" s="66"/>
      <c r="AU906" s="66"/>
      <c r="AV906" s="69"/>
      <c r="AW906" s="69"/>
      <c r="AX906" s="69"/>
      <c r="AY906" s="69"/>
      <c r="AZ906" s="69"/>
      <c r="BA906" s="69"/>
      <c r="BB906" s="69"/>
      <c r="BC906" s="69"/>
      <c r="BD906" s="69"/>
      <c r="BE906" s="69"/>
      <c r="BF906" s="55"/>
      <c r="BG906" s="70">
        <v>60</v>
      </c>
      <c r="BH906" s="63">
        <f>SUM(F906:BG906)</f>
        <v>60</v>
      </c>
      <c r="BI906" s="63">
        <v>60</v>
      </c>
      <c r="BJ906" s="70"/>
      <c r="BK906" s="203">
        <f t="shared" si="39"/>
        <v>0</v>
      </c>
      <c r="BL906" s="63"/>
      <c r="BM906" s="71"/>
      <c r="BN906" s="71"/>
      <c r="BO906" s="71"/>
    </row>
    <row r="907" spans="1:67" ht="18.95" customHeight="1">
      <c r="B907" s="51" t="s">
        <v>82</v>
      </c>
      <c r="C907" s="52" t="s">
        <v>1053</v>
      </c>
      <c r="D907" s="53" t="s">
        <v>82</v>
      </c>
      <c r="E907" s="148" t="s">
        <v>1059</v>
      </c>
      <c r="F907" s="66"/>
      <c r="G907" s="66"/>
      <c r="H907" s="66"/>
      <c r="I907" s="66"/>
      <c r="J907" s="66"/>
      <c r="K907" s="66"/>
      <c r="L907" s="66"/>
      <c r="M907" s="66"/>
      <c r="N907" s="67"/>
      <c r="O907" s="66"/>
      <c r="P907" s="66"/>
      <c r="Q907" s="66"/>
      <c r="R907" s="66"/>
      <c r="S907" s="66">
        <v>25</v>
      </c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8"/>
      <c r="AS907" s="66"/>
      <c r="AT907" s="66"/>
      <c r="AU907" s="66"/>
      <c r="AV907" s="69"/>
      <c r="AW907" s="69"/>
      <c r="AX907" s="69"/>
      <c r="AY907" s="69"/>
      <c r="AZ907" s="69"/>
      <c r="BA907" s="69"/>
      <c r="BB907" s="69"/>
      <c r="BC907" s="69"/>
      <c r="BD907" s="69"/>
      <c r="BE907" s="69"/>
      <c r="BF907" s="55"/>
      <c r="BG907" s="70">
        <v>145</v>
      </c>
      <c r="BH907" s="63">
        <f>SUM(F907:BG907)</f>
        <v>170</v>
      </c>
      <c r="BI907" s="63">
        <v>170</v>
      </c>
      <c r="BJ907" s="70"/>
      <c r="BK907" s="203">
        <f t="shared" si="39"/>
        <v>0</v>
      </c>
      <c r="BL907" s="63"/>
      <c r="BM907" s="71"/>
      <c r="BN907" s="71"/>
      <c r="BO907" s="71"/>
    </row>
    <row r="908" spans="1:67" ht="18.95" customHeight="1">
      <c r="B908" s="51" t="s">
        <v>84</v>
      </c>
      <c r="C908" s="52" t="s">
        <v>1053</v>
      </c>
      <c r="D908" s="53" t="s">
        <v>84</v>
      </c>
      <c r="E908" s="148" t="s">
        <v>1060</v>
      </c>
      <c r="F908" s="66"/>
      <c r="G908" s="66"/>
      <c r="H908" s="66"/>
      <c r="I908" s="66"/>
      <c r="J908" s="66"/>
      <c r="K908" s="66"/>
      <c r="L908" s="66"/>
      <c r="M908" s="66"/>
      <c r="N908" s="67"/>
      <c r="O908" s="66"/>
      <c r="P908" s="66"/>
      <c r="Q908" s="66"/>
      <c r="R908" s="66"/>
      <c r="S908" s="66">
        <v>85</v>
      </c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  <c r="AO908" s="66"/>
      <c r="AP908" s="66"/>
      <c r="AQ908" s="66"/>
      <c r="AR908" s="68"/>
      <c r="AS908" s="66"/>
      <c r="AT908" s="66"/>
      <c r="AU908" s="66"/>
      <c r="AV908" s="69"/>
      <c r="AW908" s="69"/>
      <c r="AX908" s="69"/>
      <c r="AY908" s="69"/>
      <c r="AZ908" s="69"/>
      <c r="BA908" s="69"/>
      <c r="BB908" s="69"/>
      <c r="BC908" s="69"/>
      <c r="BD908" s="69"/>
      <c r="BE908" s="69"/>
      <c r="BF908" s="55"/>
      <c r="BG908" s="70"/>
      <c r="BH908" s="63">
        <f>SUM(F908:BG908)</f>
        <v>85</v>
      </c>
      <c r="BI908" s="63">
        <v>85</v>
      </c>
      <c r="BJ908" s="70"/>
      <c r="BK908" s="203">
        <f t="shared" si="39"/>
        <v>0</v>
      </c>
      <c r="BL908" s="63"/>
      <c r="BM908" s="71"/>
      <c r="BN908" s="71"/>
      <c r="BO908" s="71"/>
    </row>
    <row r="909" spans="1:67" ht="18.75" customHeight="1">
      <c r="B909" s="51" t="s">
        <v>86</v>
      </c>
      <c r="C909" s="52" t="s">
        <v>1053</v>
      </c>
      <c r="D909" s="53" t="s">
        <v>86</v>
      </c>
      <c r="E909" s="148" t="s">
        <v>1061</v>
      </c>
      <c r="F909" s="66"/>
      <c r="G909" s="66"/>
      <c r="H909" s="66"/>
      <c r="I909" s="66"/>
      <c r="J909" s="66"/>
      <c r="K909" s="66"/>
      <c r="L909" s="66"/>
      <c r="M909" s="66"/>
      <c r="N909" s="67"/>
      <c r="O909" s="66"/>
      <c r="P909" s="66"/>
      <c r="Q909" s="66"/>
      <c r="R909" s="66"/>
      <c r="S909" s="66">
        <v>45</v>
      </c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8"/>
      <c r="AS909" s="66"/>
      <c r="AT909" s="66"/>
      <c r="AU909" s="66"/>
      <c r="AV909" s="69"/>
      <c r="AW909" s="69"/>
      <c r="AX909" s="69"/>
      <c r="AY909" s="69"/>
      <c r="AZ909" s="69"/>
      <c r="BA909" s="69"/>
      <c r="BB909" s="69"/>
      <c r="BC909" s="69"/>
      <c r="BD909" s="69"/>
      <c r="BE909" s="69"/>
      <c r="BF909" s="55"/>
      <c r="BG909" s="70">
        <v>15</v>
      </c>
      <c r="BH909" s="63">
        <v>60</v>
      </c>
      <c r="BI909" s="63">
        <v>60</v>
      </c>
      <c r="BJ909" s="70"/>
      <c r="BK909" s="203">
        <f t="shared" si="39"/>
        <v>0</v>
      </c>
      <c r="BL909" s="63"/>
      <c r="BM909" s="71"/>
      <c r="BN909" s="71"/>
      <c r="BO909" s="71"/>
    </row>
    <row r="910" spans="1:67" ht="18.95" customHeight="1">
      <c r="B910" s="51" t="s">
        <v>88</v>
      </c>
      <c r="C910" s="52" t="s">
        <v>1053</v>
      </c>
      <c r="D910" s="53" t="s">
        <v>88</v>
      </c>
      <c r="E910" s="148" t="s">
        <v>1062</v>
      </c>
      <c r="F910" s="66"/>
      <c r="G910" s="66"/>
      <c r="H910" s="66"/>
      <c r="I910" s="66"/>
      <c r="J910" s="66"/>
      <c r="K910" s="66"/>
      <c r="L910" s="66"/>
      <c r="M910" s="66"/>
      <c r="N910" s="67"/>
      <c r="O910" s="66"/>
      <c r="P910" s="66"/>
      <c r="Q910" s="66"/>
      <c r="R910" s="66"/>
      <c r="S910" s="66">
        <v>35</v>
      </c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8"/>
      <c r="AS910" s="66"/>
      <c r="AT910" s="66"/>
      <c r="AU910" s="66"/>
      <c r="AV910" s="69"/>
      <c r="AW910" s="69"/>
      <c r="AX910" s="69"/>
      <c r="AY910" s="69"/>
      <c r="AZ910" s="69"/>
      <c r="BA910" s="69"/>
      <c r="BB910" s="69"/>
      <c r="BC910" s="69"/>
      <c r="BD910" s="69"/>
      <c r="BE910" s="69"/>
      <c r="BF910" s="55"/>
      <c r="BG910" s="70">
        <v>50</v>
      </c>
      <c r="BH910" s="63">
        <f t="shared" ref="BH910:BH917" si="40">SUM(F910:BG910)</f>
        <v>85</v>
      </c>
      <c r="BI910" s="63">
        <v>85</v>
      </c>
      <c r="BJ910" s="70"/>
      <c r="BK910" s="203">
        <f t="shared" si="39"/>
        <v>0</v>
      </c>
      <c r="BL910" s="63"/>
      <c r="BM910" s="71"/>
      <c r="BN910" s="71"/>
      <c r="BO910" s="71"/>
    </row>
    <row r="911" spans="1:67" ht="18.95" customHeight="1">
      <c r="B911" s="51" t="s">
        <v>90</v>
      </c>
      <c r="C911" s="52" t="s">
        <v>1053</v>
      </c>
      <c r="D911" s="53" t="s">
        <v>90</v>
      </c>
      <c r="E911" s="204" t="s">
        <v>1063</v>
      </c>
      <c r="F911" s="66"/>
      <c r="G911" s="66"/>
      <c r="H911" s="66"/>
      <c r="I911" s="66"/>
      <c r="J911" s="66"/>
      <c r="K911" s="66"/>
      <c r="L911" s="66"/>
      <c r="M911" s="66"/>
      <c r="N911" s="67"/>
      <c r="O911" s="66"/>
      <c r="P911" s="66"/>
      <c r="Q911" s="66"/>
      <c r="R911" s="66"/>
      <c r="S911" s="66">
        <v>60</v>
      </c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8"/>
      <c r="AS911" s="66"/>
      <c r="AT911" s="66"/>
      <c r="AU911" s="66"/>
      <c r="AV911" s="69"/>
      <c r="AW911" s="69"/>
      <c r="AX911" s="69"/>
      <c r="AY911" s="69"/>
      <c r="AZ911" s="69"/>
      <c r="BA911" s="69"/>
      <c r="BB911" s="69"/>
      <c r="BC911" s="69"/>
      <c r="BD911" s="69"/>
      <c r="BE911" s="69"/>
      <c r="BF911" s="55"/>
      <c r="BG911" s="70"/>
      <c r="BH911" s="63">
        <f t="shared" si="40"/>
        <v>60</v>
      </c>
      <c r="BI911" s="63">
        <v>60</v>
      </c>
      <c r="BJ911" s="70"/>
      <c r="BK911" s="203">
        <f t="shared" si="39"/>
        <v>0</v>
      </c>
      <c r="BL911" s="63"/>
      <c r="BM911" s="71"/>
      <c r="BN911" s="71"/>
      <c r="BO911" s="71"/>
    </row>
    <row r="912" spans="1:67" ht="18.95" customHeight="1">
      <c r="B912" s="51" t="s">
        <v>92</v>
      </c>
      <c r="C912" s="52" t="s">
        <v>1053</v>
      </c>
      <c r="D912" s="53" t="s">
        <v>92</v>
      </c>
      <c r="E912" s="204" t="s">
        <v>1064</v>
      </c>
      <c r="F912" s="66"/>
      <c r="G912" s="66"/>
      <c r="H912" s="66"/>
      <c r="I912" s="66"/>
      <c r="J912" s="66"/>
      <c r="K912" s="66"/>
      <c r="L912" s="66"/>
      <c r="M912" s="66"/>
      <c r="N912" s="67"/>
      <c r="O912" s="66"/>
      <c r="P912" s="66"/>
      <c r="Q912" s="66"/>
      <c r="R912" s="66"/>
      <c r="S912" s="66">
        <v>25</v>
      </c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  <c r="AO912" s="66"/>
      <c r="AP912" s="66"/>
      <c r="AQ912" s="66"/>
      <c r="AR912" s="68"/>
      <c r="AS912" s="66"/>
      <c r="AT912" s="66"/>
      <c r="AU912" s="66"/>
      <c r="AV912" s="69"/>
      <c r="AW912" s="69"/>
      <c r="AX912" s="69"/>
      <c r="AY912" s="69"/>
      <c r="AZ912" s="69"/>
      <c r="BA912" s="69"/>
      <c r="BB912" s="69"/>
      <c r="BC912" s="69"/>
      <c r="BD912" s="69"/>
      <c r="BE912" s="69"/>
      <c r="BF912" s="55"/>
      <c r="BG912" s="70">
        <v>145</v>
      </c>
      <c r="BH912" s="63">
        <f t="shared" si="40"/>
        <v>170</v>
      </c>
      <c r="BI912" s="63">
        <v>170</v>
      </c>
      <c r="BJ912" s="70"/>
      <c r="BK912" s="203">
        <f t="shared" si="39"/>
        <v>0</v>
      </c>
      <c r="BL912" s="63"/>
      <c r="BM912" s="71"/>
      <c r="BN912" s="71"/>
      <c r="BO912" s="71"/>
    </row>
    <row r="913" spans="2:67" ht="18.95" customHeight="1">
      <c r="B913" s="51" t="s">
        <v>94</v>
      </c>
      <c r="C913" s="52" t="s">
        <v>1053</v>
      </c>
      <c r="D913" s="53" t="s">
        <v>94</v>
      </c>
      <c r="E913" s="148" t="s">
        <v>1065</v>
      </c>
      <c r="F913" s="66"/>
      <c r="G913" s="66"/>
      <c r="H913" s="66"/>
      <c r="I913" s="66"/>
      <c r="J913" s="66"/>
      <c r="K913" s="66"/>
      <c r="L913" s="66"/>
      <c r="M913" s="66"/>
      <c r="N913" s="67"/>
      <c r="O913" s="66"/>
      <c r="P913" s="66"/>
      <c r="Q913" s="66"/>
      <c r="R913" s="66"/>
      <c r="S913" s="66">
        <v>25</v>
      </c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8"/>
      <c r="AS913" s="66"/>
      <c r="AT913" s="66"/>
      <c r="AU913" s="66"/>
      <c r="AV913" s="69"/>
      <c r="AW913" s="69"/>
      <c r="AX913" s="69"/>
      <c r="AY913" s="69"/>
      <c r="AZ913" s="69"/>
      <c r="BA913" s="69"/>
      <c r="BB913" s="69"/>
      <c r="BC913" s="69"/>
      <c r="BD913" s="69"/>
      <c r="BE913" s="69"/>
      <c r="BF913" s="55"/>
      <c r="BG913" s="70">
        <v>85</v>
      </c>
      <c r="BH913" s="63">
        <f t="shared" si="40"/>
        <v>110</v>
      </c>
      <c r="BI913" s="63">
        <v>110</v>
      </c>
      <c r="BJ913" s="70"/>
      <c r="BK913" s="203">
        <f t="shared" si="39"/>
        <v>0</v>
      </c>
      <c r="BL913" s="63"/>
      <c r="BM913" s="71"/>
      <c r="BN913" s="71"/>
      <c r="BO913" s="71"/>
    </row>
    <row r="914" spans="2:67" ht="18.75" customHeight="1">
      <c r="B914" s="51" t="s">
        <v>96</v>
      </c>
      <c r="C914" s="52" t="s">
        <v>1053</v>
      </c>
      <c r="D914" s="53" t="s">
        <v>96</v>
      </c>
      <c r="E914" s="204" t="s">
        <v>1066</v>
      </c>
      <c r="F914" s="66"/>
      <c r="G914" s="66"/>
      <c r="H914" s="66"/>
      <c r="I914" s="66"/>
      <c r="J914" s="66"/>
      <c r="K914" s="66"/>
      <c r="L914" s="66"/>
      <c r="M914" s="66"/>
      <c r="N914" s="67"/>
      <c r="O914" s="66"/>
      <c r="P914" s="66"/>
      <c r="Q914" s="66"/>
      <c r="R914" s="66"/>
      <c r="S914" s="66">
        <v>0</v>
      </c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  <c r="AO914" s="66"/>
      <c r="AP914" s="66"/>
      <c r="AQ914" s="66"/>
      <c r="AR914" s="68"/>
      <c r="AS914" s="66"/>
      <c r="AT914" s="66"/>
      <c r="AU914" s="66"/>
      <c r="AV914" s="69"/>
      <c r="AW914" s="69"/>
      <c r="AX914" s="69"/>
      <c r="AY914" s="69"/>
      <c r="AZ914" s="69"/>
      <c r="BA914" s="69"/>
      <c r="BB914" s="69"/>
      <c r="BC914" s="69"/>
      <c r="BD914" s="69"/>
      <c r="BE914" s="69"/>
      <c r="BF914" s="55"/>
      <c r="BG914" s="70">
        <v>60</v>
      </c>
      <c r="BH914" s="63">
        <f t="shared" si="40"/>
        <v>60</v>
      </c>
      <c r="BI914" s="63">
        <v>60</v>
      </c>
      <c r="BJ914" s="70"/>
      <c r="BK914" s="203">
        <f t="shared" si="39"/>
        <v>0</v>
      </c>
      <c r="BL914" s="63"/>
      <c r="BM914" s="71"/>
      <c r="BN914" s="71"/>
      <c r="BO914" s="71"/>
    </row>
    <row r="915" spans="2:67" ht="18.95" customHeight="1">
      <c r="B915" s="51" t="s">
        <v>98</v>
      </c>
      <c r="C915" s="52" t="s">
        <v>1053</v>
      </c>
      <c r="D915" s="53" t="s">
        <v>98</v>
      </c>
      <c r="E915" s="148" t="s">
        <v>1067</v>
      </c>
      <c r="F915" s="66"/>
      <c r="G915" s="66"/>
      <c r="H915" s="66"/>
      <c r="I915" s="66"/>
      <c r="J915" s="66"/>
      <c r="K915" s="66"/>
      <c r="L915" s="66"/>
      <c r="M915" s="66"/>
      <c r="N915" s="67"/>
      <c r="O915" s="66"/>
      <c r="P915" s="66"/>
      <c r="Q915" s="66"/>
      <c r="R915" s="66"/>
      <c r="S915" s="66">
        <v>50</v>
      </c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8"/>
      <c r="AS915" s="66"/>
      <c r="AT915" s="66"/>
      <c r="AU915" s="66"/>
      <c r="AV915" s="69"/>
      <c r="AW915" s="69"/>
      <c r="AX915" s="69"/>
      <c r="AY915" s="69"/>
      <c r="AZ915" s="69"/>
      <c r="BA915" s="69"/>
      <c r="BB915" s="69"/>
      <c r="BC915" s="69"/>
      <c r="BD915" s="69"/>
      <c r="BE915" s="69"/>
      <c r="BF915" s="55"/>
      <c r="BG915" s="70"/>
      <c r="BH915" s="63">
        <f t="shared" si="40"/>
        <v>50</v>
      </c>
      <c r="BI915" s="63">
        <v>50</v>
      </c>
      <c r="BJ915" s="70"/>
      <c r="BK915" s="203">
        <f t="shared" si="39"/>
        <v>0</v>
      </c>
      <c r="BL915" s="63"/>
      <c r="BM915" s="71"/>
      <c r="BN915" s="71"/>
      <c r="BO915" s="71"/>
    </row>
    <row r="916" spans="2:67" ht="18.95" customHeight="1">
      <c r="B916" s="51" t="s">
        <v>100</v>
      </c>
      <c r="C916" s="52" t="s">
        <v>1053</v>
      </c>
      <c r="D916" s="53" t="s">
        <v>100</v>
      </c>
      <c r="E916" s="148" t="s">
        <v>1068</v>
      </c>
      <c r="F916" s="66"/>
      <c r="G916" s="66"/>
      <c r="H916" s="66"/>
      <c r="I916" s="66"/>
      <c r="J916" s="66"/>
      <c r="K916" s="66"/>
      <c r="L916" s="66"/>
      <c r="M916" s="66"/>
      <c r="N916" s="67"/>
      <c r="O916" s="66"/>
      <c r="P916" s="66"/>
      <c r="Q916" s="66"/>
      <c r="R916" s="66"/>
      <c r="S916" s="66">
        <v>0</v>
      </c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8"/>
      <c r="AS916" s="66"/>
      <c r="AT916" s="66"/>
      <c r="AU916" s="66"/>
      <c r="AV916" s="69"/>
      <c r="AW916" s="69"/>
      <c r="AX916" s="69"/>
      <c r="AY916" s="69"/>
      <c r="AZ916" s="69"/>
      <c r="BA916" s="69"/>
      <c r="BB916" s="69"/>
      <c r="BC916" s="69"/>
      <c r="BD916" s="69"/>
      <c r="BE916" s="69"/>
      <c r="BF916" s="55"/>
      <c r="BG916" s="70">
        <v>1</v>
      </c>
      <c r="BH916" s="63">
        <f t="shared" si="40"/>
        <v>1</v>
      </c>
      <c r="BI916" s="63">
        <v>1</v>
      </c>
      <c r="BJ916" s="70"/>
      <c r="BK916" s="203">
        <f t="shared" si="39"/>
        <v>0</v>
      </c>
      <c r="BL916" s="63"/>
      <c r="BM916" s="71"/>
      <c r="BN916" s="71"/>
      <c r="BO916" s="71"/>
    </row>
    <row r="917" spans="2:67" ht="18.95" customHeight="1">
      <c r="B917" s="51" t="s">
        <v>102</v>
      </c>
      <c r="C917" s="52" t="s">
        <v>1053</v>
      </c>
      <c r="D917" s="53" t="s">
        <v>102</v>
      </c>
      <c r="E917" s="148" t="s">
        <v>1069</v>
      </c>
      <c r="F917" s="66"/>
      <c r="G917" s="66"/>
      <c r="H917" s="66"/>
      <c r="I917" s="66"/>
      <c r="J917" s="66"/>
      <c r="K917" s="66"/>
      <c r="L917" s="66"/>
      <c r="M917" s="66"/>
      <c r="N917" s="67"/>
      <c r="O917" s="66"/>
      <c r="P917" s="66"/>
      <c r="Q917" s="66"/>
      <c r="R917" s="66"/>
      <c r="S917" s="66">
        <v>0</v>
      </c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8"/>
      <c r="AS917" s="66"/>
      <c r="AT917" s="66"/>
      <c r="AU917" s="66"/>
      <c r="AV917" s="69"/>
      <c r="AW917" s="69"/>
      <c r="AX917" s="69"/>
      <c r="AY917" s="69"/>
      <c r="AZ917" s="69"/>
      <c r="BA917" s="69"/>
      <c r="BB917" s="69"/>
      <c r="BC917" s="69"/>
      <c r="BD917" s="69"/>
      <c r="BE917" s="69"/>
      <c r="BF917" s="55"/>
      <c r="BG917" s="70">
        <v>2</v>
      </c>
      <c r="BH917" s="63">
        <f t="shared" si="40"/>
        <v>2</v>
      </c>
      <c r="BI917" s="63">
        <v>2</v>
      </c>
      <c r="BJ917" s="70"/>
      <c r="BK917" s="203">
        <f t="shared" si="39"/>
        <v>0</v>
      </c>
      <c r="BL917" s="63"/>
      <c r="BM917" s="71"/>
      <c r="BN917" s="71"/>
      <c r="BO917" s="71"/>
    </row>
    <row r="918" spans="2:67" ht="18.95" customHeight="1">
      <c r="B918" s="51" t="s">
        <v>104</v>
      </c>
      <c r="C918" s="52" t="s">
        <v>1053</v>
      </c>
      <c r="D918" s="53"/>
      <c r="E918" s="200"/>
      <c r="F918" s="66"/>
      <c r="G918" s="66"/>
      <c r="H918" s="66"/>
      <c r="I918" s="66"/>
      <c r="J918" s="66"/>
      <c r="K918" s="66"/>
      <c r="L918" s="66"/>
      <c r="M918" s="66"/>
      <c r="N918" s="67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8"/>
      <c r="AS918" s="66"/>
      <c r="AT918" s="66"/>
      <c r="AU918" s="66"/>
      <c r="AV918" s="69"/>
      <c r="AW918" s="69"/>
      <c r="AX918" s="69"/>
      <c r="AY918" s="69"/>
      <c r="AZ918" s="69"/>
      <c r="BA918" s="69"/>
      <c r="BB918" s="69"/>
      <c r="BC918" s="69"/>
      <c r="BD918" s="69"/>
      <c r="BE918" s="69"/>
      <c r="BF918" s="55"/>
      <c r="BG918" s="70"/>
      <c r="BH918" s="63"/>
      <c r="BI918" s="63"/>
      <c r="BJ918" s="70"/>
      <c r="BK918" s="70"/>
      <c r="BL918" s="63"/>
      <c r="BM918" s="71"/>
      <c r="BN918" s="71"/>
      <c r="BO918" s="71"/>
    </row>
    <row r="919" spans="2:67" ht="18.95" customHeight="1">
      <c r="B919" s="51" t="s">
        <v>106</v>
      </c>
      <c r="C919" s="52" t="s">
        <v>1053</v>
      </c>
      <c r="D919" s="53"/>
      <c r="E919" s="197"/>
      <c r="F919" s="66"/>
      <c r="G919" s="66"/>
      <c r="H919" s="66"/>
      <c r="I919" s="66"/>
      <c r="J919" s="66"/>
      <c r="K919" s="66"/>
      <c r="L919" s="66"/>
      <c r="M919" s="66"/>
      <c r="N919" s="67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8"/>
      <c r="AS919" s="66"/>
      <c r="AT919" s="66"/>
      <c r="AU919" s="66"/>
      <c r="AV919" s="69"/>
      <c r="AW919" s="69"/>
      <c r="AX919" s="69"/>
      <c r="AY919" s="69"/>
      <c r="AZ919" s="69"/>
      <c r="BA919" s="69"/>
      <c r="BB919" s="69"/>
      <c r="BC919" s="69"/>
      <c r="BD919" s="69"/>
      <c r="BE919" s="69"/>
      <c r="BF919" s="55"/>
      <c r="BG919" s="70"/>
      <c r="BH919" s="63"/>
      <c r="BI919" s="63"/>
      <c r="BJ919" s="70"/>
      <c r="BK919" s="70"/>
      <c r="BL919" s="63"/>
      <c r="BM919" s="71"/>
      <c r="BN919" s="71"/>
      <c r="BO919" s="71"/>
    </row>
    <row r="920" spans="2:67" ht="18.95" customHeight="1">
      <c r="B920" s="51" t="s">
        <v>108</v>
      </c>
      <c r="C920" s="52" t="s">
        <v>1053</v>
      </c>
      <c r="D920" s="53"/>
      <c r="E920" s="202"/>
      <c r="F920" s="66"/>
      <c r="G920" s="66"/>
      <c r="H920" s="66"/>
      <c r="I920" s="66"/>
      <c r="J920" s="66"/>
      <c r="K920" s="66"/>
      <c r="L920" s="66"/>
      <c r="M920" s="66"/>
      <c r="N920" s="67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8"/>
      <c r="AS920" s="66"/>
      <c r="AT920" s="66"/>
      <c r="AU920" s="66"/>
      <c r="AV920" s="69"/>
      <c r="AW920" s="69"/>
      <c r="AX920" s="69"/>
      <c r="AY920" s="69"/>
      <c r="AZ920" s="69"/>
      <c r="BA920" s="69"/>
      <c r="BB920" s="69"/>
      <c r="BC920" s="69"/>
      <c r="BD920" s="69"/>
      <c r="BE920" s="69"/>
      <c r="BF920" s="55"/>
      <c r="BG920" s="70"/>
      <c r="BH920" s="63"/>
      <c r="BI920" s="63"/>
      <c r="BJ920" s="70"/>
      <c r="BK920" s="70"/>
      <c r="BL920" s="63"/>
      <c r="BM920" s="71"/>
      <c r="BN920" s="71"/>
      <c r="BO920" s="71"/>
    </row>
    <row r="921" spans="2:67" ht="18.95" customHeight="1">
      <c r="B921" s="51" t="s">
        <v>110</v>
      </c>
      <c r="C921" s="52" t="s">
        <v>1053</v>
      </c>
      <c r="D921" s="53"/>
      <c r="E921" s="200"/>
      <c r="F921" s="66"/>
      <c r="G921" s="66"/>
      <c r="H921" s="66"/>
      <c r="I921" s="66"/>
      <c r="J921" s="66"/>
      <c r="K921" s="66"/>
      <c r="L921" s="66"/>
      <c r="M921" s="66"/>
      <c r="N921" s="67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8"/>
      <c r="AS921" s="66"/>
      <c r="AT921" s="66"/>
      <c r="AU921" s="66"/>
      <c r="AV921" s="69"/>
      <c r="AW921" s="69"/>
      <c r="AX921" s="69"/>
      <c r="AY921" s="69"/>
      <c r="AZ921" s="69"/>
      <c r="BA921" s="69"/>
      <c r="BB921" s="69"/>
      <c r="BC921" s="69"/>
      <c r="BD921" s="69"/>
      <c r="BE921" s="69"/>
      <c r="BF921" s="55"/>
      <c r="BG921" s="70"/>
      <c r="BH921" s="63"/>
      <c r="BI921" s="63"/>
      <c r="BJ921" s="70"/>
      <c r="BK921" s="70"/>
      <c r="BL921" s="63"/>
      <c r="BM921" s="71"/>
      <c r="BN921" s="71"/>
      <c r="BO921" s="71"/>
    </row>
    <row r="922" spans="2:67" ht="18.95" customHeight="1">
      <c r="B922" s="51" t="s">
        <v>112</v>
      </c>
      <c r="C922" s="52" t="s">
        <v>1053</v>
      </c>
      <c r="D922" s="53"/>
      <c r="E922" s="200"/>
      <c r="F922" s="66"/>
      <c r="G922" s="66"/>
      <c r="H922" s="66"/>
      <c r="I922" s="66"/>
      <c r="J922" s="66"/>
      <c r="K922" s="66"/>
      <c r="L922" s="66"/>
      <c r="M922" s="66"/>
      <c r="N922" s="67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8"/>
      <c r="AS922" s="66"/>
      <c r="AT922" s="66"/>
      <c r="AU922" s="66"/>
      <c r="AV922" s="69"/>
      <c r="AW922" s="69"/>
      <c r="AX922" s="69"/>
      <c r="AY922" s="69"/>
      <c r="AZ922" s="69"/>
      <c r="BA922" s="69"/>
      <c r="BB922" s="69"/>
      <c r="BC922" s="69"/>
      <c r="BD922" s="69"/>
      <c r="BE922" s="69"/>
      <c r="BF922" s="55"/>
      <c r="BG922" s="70"/>
      <c r="BH922" s="63"/>
      <c r="BI922" s="63"/>
      <c r="BJ922" s="70"/>
      <c r="BK922" s="70"/>
      <c r="BL922" s="63"/>
      <c r="BM922" s="71"/>
      <c r="BN922" s="71"/>
      <c r="BO922" s="71"/>
    </row>
    <row r="923" spans="2:67" ht="18.95" customHeight="1">
      <c r="B923" s="51" t="s">
        <v>114</v>
      </c>
      <c r="C923" s="52" t="s">
        <v>1053</v>
      </c>
      <c r="D923" s="53"/>
      <c r="E923" s="153"/>
      <c r="F923" s="66"/>
      <c r="G923" s="66"/>
      <c r="H923" s="66"/>
      <c r="I923" s="66"/>
      <c r="J923" s="66"/>
      <c r="K923" s="66"/>
      <c r="L923" s="66"/>
      <c r="M923" s="66"/>
      <c r="N923" s="67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8"/>
      <c r="AS923" s="66"/>
      <c r="AT923" s="66"/>
      <c r="AU923" s="66"/>
      <c r="AV923" s="69"/>
      <c r="AW923" s="69"/>
      <c r="AX923" s="69"/>
      <c r="AY923" s="69"/>
      <c r="AZ923" s="69"/>
      <c r="BA923" s="69"/>
      <c r="BB923" s="69"/>
      <c r="BC923" s="69"/>
      <c r="BD923" s="69"/>
      <c r="BE923" s="69"/>
      <c r="BF923" s="55"/>
      <c r="BG923" s="70"/>
      <c r="BH923" s="63"/>
      <c r="BI923" s="63"/>
      <c r="BJ923" s="70"/>
      <c r="BK923" s="70"/>
      <c r="BL923" s="63"/>
      <c r="BM923" s="71"/>
      <c r="BN923" s="71"/>
      <c r="BO923" s="71"/>
    </row>
    <row r="924" spans="2:67" ht="18.95" customHeight="1">
      <c r="B924" s="51" t="s">
        <v>116</v>
      </c>
      <c r="C924" s="52" t="s">
        <v>1053</v>
      </c>
      <c r="D924" s="53"/>
      <c r="E924" s="153"/>
      <c r="F924" s="66"/>
      <c r="G924" s="66"/>
      <c r="H924" s="66"/>
      <c r="I924" s="66"/>
      <c r="J924" s="66"/>
      <c r="K924" s="66"/>
      <c r="L924" s="66"/>
      <c r="M924" s="66"/>
      <c r="N924" s="67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8"/>
      <c r="AS924" s="66"/>
      <c r="AT924" s="66"/>
      <c r="AU924" s="66"/>
      <c r="AV924" s="69"/>
      <c r="AW924" s="69"/>
      <c r="AX924" s="69"/>
      <c r="AY924" s="69"/>
      <c r="AZ924" s="69"/>
      <c r="BA924" s="69"/>
      <c r="BB924" s="69"/>
      <c r="BC924" s="69"/>
      <c r="BD924" s="69"/>
      <c r="BE924" s="69"/>
      <c r="BF924" s="55"/>
      <c r="BG924" s="70"/>
      <c r="BH924" s="63"/>
      <c r="BI924" s="63"/>
      <c r="BJ924" s="70"/>
      <c r="BK924" s="70"/>
      <c r="BL924" s="63"/>
      <c r="BM924" s="71"/>
      <c r="BN924" s="71"/>
      <c r="BO924" s="71"/>
    </row>
    <row r="925" spans="2:67" ht="18.95" customHeight="1">
      <c r="B925" s="51" t="s">
        <v>118</v>
      </c>
      <c r="C925" s="52" t="s">
        <v>1053</v>
      </c>
      <c r="D925" s="53"/>
      <c r="E925" s="153"/>
      <c r="F925" s="66"/>
      <c r="G925" s="66"/>
      <c r="H925" s="66"/>
      <c r="I925" s="66"/>
      <c r="J925" s="66"/>
      <c r="K925" s="66"/>
      <c r="L925" s="66"/>
      <c r="M925" s="66"/>
      <c r="N925" s="67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8"/>
      <c r="AS925" s="66"/>
      <c r="AT925" s="66"/>
      <c r="AU925" s="66"/>
      <c r="AV925" s="69"/>
      <c r="AW925" s="69"/>
      <c r="AX925" s="69"/>
      <c r="AY925" s="69"/>
      <c r="AZ925" s="69"/>
      <c r="BA925" s="69"/>
      <c r="BB925" s="69"/>
      <c r="BC925" s="69"/>
      <c r="BD925" s="69"/>
      <c r="BE925" s="69"/>
      <c r="BF925" s="55"/>
      <c r="BG925" s="70"/>
      <c r="BH925" s="63"/>
      <c r="BI925" s="63"/>
      <c r="BJ925" s="70"/>
      <c r="BK925" s="70"/>
      <c r="BL925" s="63"/>
      <c r="BM925" s="71"/>
      <c r="BN925" s="71"/>
      <c r="BO925" s="71"/>
    </row>
    <row r="926" spans="2:67" ht="18.95" customHeight="1">
      <c r="B926" s="51" t="s">
        <v>120</v>
      </c>
      <c r="C926" s="52" t="s">
        <v>1053</v>
      </c>
      <c r="D926" s="53"/>
      <c r="E926" s="153"/>
      <c r="F926" s="66"/>
      <c r="G926" s="66"/>
      <c r="H926" s="66"/>
      <c r="I926" s="66"/>
      <c r="J926" s="66"/>
      <c r="K926" s="66"/>
      <c r="L926" s="66"/>
      <c r="M926" s="66"/>
      <c r="N926" s="67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8"/>
      <c r="AS926" s="66"/>
      <c r="AT926" s="66"/>
      <c r="AU926" s="66"/>
      <c r="AV926" s="69"/>
      <c r="AW926" s="69"/>
      <c r="AX926" s="69"/>
      <c r="AY926" s="69"/>
      <c r="AZ926" s="69"/>
      <c r="BA926" s="69"/>
      <c r="BB926" s="69"/>
      <c r="BC926" s="69"/>
      <c r="BD926" s="69"/>
      <c r="BE926" s="69"/>
      <c r="BF926" s="55"/>
      <c r="BG926" s="70"/>
      <c r="BH926" s="63"/>
      <c r="BI926" s="63"/>
      <c r="BJ926" s="70"/>
      <c r="BK926" s="70"/>
      <c r="BL926" s="63"/>
      <c r="BM926" s="71"/>
      <c r="BN926" s="71"/>
      <c r="BO926" s="71"/>
    </row>
    <row r="927" spans="2:67" ht="18.95" customHeight="1">
      <c r="B927" s="51" t="s">
        <v>122</v>
      </c>
      <c r="C927" s="52" t="s">
        <v>1053</v>
      </c>
      <c r="D927" s="53"/>
      <c r="E927" s="153"/>
      <c r="F927" s="66"/>
      <c r="G927" s="66"/>
      <c r="H927" s="66"/>
      <c r="I927" s="66"/>
      <c r="J927" s="66"/>
      <c r="K927" s="66"/>
      <c r="L927" s="66"/>
      <c r="M927" s="66"/>
      <c r="N927" s="67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75"/>
      <c r="AM927" s="66"/>
      <c r="AN927" s="66"/>
      <c r="AO927" s="66"/>
      <c r="AP927" s="66"/>
      <c r="AQ927" s="66"/>
      <c r="AR927" s="68"/>
      <c r="AS927" s="66"/>
      <c r="AT927" s="66"/>
      <c r="AU927" s="66"/>
      <c r="AV927" s="69"/>
      <c r="AW927" s="69"/>
      <c r="AX927" s="69"/>
      <c r="AY927" s="69"/>
      <c r="AZ927" s="69"/>
      <c r="BA927" s="69"/>
      <c r="BB927" s="69"/>
      <c r="BC927" s="69"/>
      <c r="BD927" s="69"/>
      <c r="BE927" s="69"/>
      <c r="BF927" s="55"/>
      <c r="BG927" s="70"/>
      <c r="BH927" s="63"/>
      <c r="BI927" s="63"/>
      <c r="BJ927" s="70"/>
      <c r="BK927" s="70"/>
      <c r="BL927" s="63"/>
      <c r="BM927" s="71"/>
      <c r="BN927" s="71"/>
      <c r="BO927" s="71"/>
    </row>
    <row r="928" spans="2:67" ht="18.95" customHeight="1">
      <c r="B928" s="51" t="s">
        <v>124</v>
      </c>
      <c r="C928" s="52" t="s">
        <v>1053</v>
      </c>
      <c r="D928" s="53"/>
      <c r="E928" s="153"/>
      <c r="F928" s="66"/>
      <c r="G928" s="66"/>
      <c r="H928" s="66"/>
      <c r="I928" s="66"/>
      <c r="J928" s="66"/>
      <c r="K928" s="66"/>
      <c r="L928" s="66"/>
      <c r="M928" s="66"/>
      <c r="N928" s="67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75"/>
      <c r="AM928" s="66"/>
      <c r="AN928" s="66"/>
      <c r="AO928" s="66"/>
      <c r="AP928" s="66"/>
      <c r="AQ928" s="66"/>
      <c r="AR928" s="68"/>
      <c r="AS928" s="66"/>
      <c r="AT928" s="66"/>
      <c r="AU928" s="66"/>
      <c r="AV928" s="69"/>
      <c r="AW928" s="69"/>
      <c r="AX928" s="69"/>
      <c r="AY928" s="69"/>
      <c r="AZ928" s="69"/>
      <c r="BA928" s="69"/>
      <c r="BB928" s="69"/>
      <c r="BC928" s="69"/>
      <c r="BD928" s="69"/>
      <c r="BE928" s="69"/>
      <c r="BF928" s="55"/>
      <c r="BG928" s="70"/>
      <c r="BH928" s="63"/>
      <c r="BI928" s="63"/>
      <c r="BJ928" s="70"/>
      <c r="BK928" s="70"/>
      <c r="BL928" s="63"/>
      <c r="BM928" s="71"/>
      <c r="BN928" s="71"/>
      <c r="BO928" s="71"/>
    </row>
    <row r="929" spans="2:67" ht="18.95" customHeight="1">
      <c r="B929" s="51" t="s">
        <v>126</v>
      </c>
      <c r="C929" s="52" t="s">
        <v>1053</v>
      </c>
      <c r="D929" s="53"/>
      <c r="E929" s="153"/>
      <c r="F929" s="66"/>
      <c r="G929" s="66"/>
      <c r="H929" s="66"/>
      <c r="I929" s="66"/>
      <c r="J929" s="66"/>
      <c r="K929" s="66"/>
      <c r="L929" s="66"/>
      <c r="M929" s="66"/>
      <c r="N929" s="67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8"/>
      <c r="AS929" s="66"/>
      <c r="AT929" s="66"/>
      <c r="AU929" s="66"/>
      <c r="AV929" s="69"/>
      <c r="AW929" s="69"/>
      <c r="AX929" s="69"/>
      <c r="AY929" s="69"/>
      <c r="AZ929" s="69"/>
      <c r="BA929" s="69"/>
      <c r="BB929" s="69"/>
      <c r="BC929" s="69"/>
      <c r="BD929" s="69"/>
      <c r="BE929" s="69"/>
      <c r="BF929" s="55"/>
      <c r="BG929" s="70"/>
      <c r="BH929" s="63"/>
      <c r="BI929" s="63"/>
      <c r="BJ929" s="70"/>
      <c r="BK929" s="70"/>
      <c r="BL929" s="63"/>
      <c r="BM929" s="71"/>
      <c r="BN929" s="65"/>
      <c r="BO929" s="65"/>
    </row>
    <row r="930" spans="2:67" ht="18.95" customHeight="1">
      <c r="B930" s="51" t="s">
        <v>128</v>
      </c>
      <c r="C930" s="52" t="s">
        <v>1053</v>
      </c>
      <c r="D930" s="53"/>
      <c r="E930" s="153"/>
      <c r="F930" s="55"/>
      <c r="G930" s="66"/>
      <c r="H930" s="66"/>
      <c r="I930" s="66"/>
      <c r="J930" s="66"/>
      <c r="K930" s="66"/>
      <c r="L930" s="66"/>
      <c r="M930" s="66"/>
      <c r="N930" s="67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75"/>
      <c r="AM930" s="66"/>
      <c r="AN930" s="66"/>
      <c r="AO930" s="66"/>
      <c r="AP930" s="66"/>
      <c r="AQ930" s="66"/>
      <c r="AR930" s="68"/>
      <c r="AS930" s="66"/>
      <c r="AT930" s="66"/>
      <c r="AU930" s="66"/>
      <c r="AV930" s="69"/>
      <c r="AW930" s="69"/>
      <c r="AX930" s="69"/>
      <c r="AY930" s="69"/>
      <c r="AZ930" s="69"/>
      <c r="BA930" s="69"/>
      <c r="BB930" s="69"/>
      <c r="BC930" s="69"/>
      <c r="BD930" s="69"/>
      <c r="BE930" s="69"/>
      <c r="BF930" s="55"/>
      <c r="BG930" s="70"/>
      <c r="BH930" s="63"/>
      <c r="BI930" s="63"/>
      <c r="BJ930" s="70"/>
      <c r="BK930" s="70"/>
      <c r="BL930" s="63"/>
      <c r="BM930" s="71"/>
      <c r="BN930" s="65"/>
      <c r="BO930" s="65"/>
    </row>
    <row r="931" spans="2:67" ht="18.95" customHeight="1">
      <c r="B931" s="51" t="s">
        <v>130</v>
      </c>
      <c r="C931" s="52" t="s">
        <v>1053</v>
      </c>
      <c r="D931" s="53"/>
      <c r="E931" s="153"/>
      <c r="F931" s="66"/>
      <c r="G931" s="66"/>
      <c r="H931" s="66"/>
      <c r="I931" s="66"/>
      <c r="J931" s="66"/>
      <c r="K931" s="66"/>
      <c r="L931" s="66"/>
      <c r="M931" s="66"/>
      <c r="N931" s="67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  <c r="AO931" s="66"/>
      <c r="AP931" s="66"/>
      <c r="AQ931" s="66"/>
      <c r="AR931" s="68"/>
      <c r="AS931" s="66"/>
      <c r="AT931" s="66"/>
      <c r="AU931" s="66"/>
      <c r="AV931" s="69"/>
      <c r="AW931" s="69"/>
      <c r="AX931" s="69"/>
      <c r="AY931" s="69"/>
      <c r="AZ931" s="69"/>
      <c r="BA931" s="69"/>
      <c r="BB931" s="69"/>
      <c r="BC931" s="69"/>
      <c r="BD931" s="69"/>
      <c r="BE931" s="69"/>
      <c r="BF931" s="55"/>
      <c r="BG931" s="70"/>
      <c r="BH931" s="63"/>
      <c r="BI931" s="63"/>
      <c r="BJ931" s="70"/>
      <c r="BK931" s="70"/>
      <c r="BL931" s="63"/>
      <c r="BM931" s="71"/>
      <c r="BN931" s="71"/>
      <c r="BO931" s="71"/>
    </row>
    <row r="932" spans="2:67" ht="18.95" customHeight="1">
      <c r="B932" s="51" t="s">
        <v>132</v>
      </c>
      <c r="C932" s="52" t="s">
        <v>1053</v>
      </c>
      <c r="D932" s="53"/>
      <c r="E932" s="154"/>
      <c r="F932" s="55"/>
      <c r="G932" s="55"/>
      <c r="H932" s="55"/>
      <c r="I932" s="55"/>
      <c r="J932" s="55"/>
      <c r="K932" s="55"/>
      <c r="L932" s="55"/>
      <c r="M932" s="55"/>
      <c r="N932" s="56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76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70"/>
      <c r="BH932" s="63"/>
      <c r="BI932" s="63"/>
      <c r="BJ932" s="70"/>
      <c r="BK932" s="70"/>
      <c r="BL932" s="63"/>
      <c r="BM932" s="71"/>
      <c r="BN932" s="65"/>
      <c r="BO932" s="65"/>
    </row>
    <row r="933" spans="2:67">
      <c r="B933" s="87"/>
      <c r="C933" s="87"/>
      <c r="D933" s="87"/>
      <c r="E933" s="87"/>
    </row>
    <row r="934" spans="2:67">
      <c r="B934" s="87"/>
      <c r="C934" s="87"/>
      <c r="D934" s="87"/>
      <c r="E934" s="87"/>
    </row>
    <row r="935" spans="2:67">
      <c r="B935" s="87"/>
      <c r="C935" s="87"/>
      <c r="D935" s="87"/>
      <c r="E935" s="87"/>
    </row>
    <row r="936" spans="2:67">
      <c r="B936" s="87"/>
      <c r="C936" s="87"/>
      <c r="D936" s="87"/>
      <c r="E936" s="87"/>
    </row>
    <row r="937" spans="2:67">
      <c r="B937" s="87"/>
      <c r="C937" s="87"/>
      <c r="D937" s="87"/>
      <c r="E937" s="87"/>
    </row>
    <row r="938" spans="2:67">
      <c r="B938" s="87"/>
      <c r="C938" s="87"/>
      <c r="D938" s="87"/>
      <c r="E938" s="87"/>
    </row>
    <row r="939" spans="2:67">
      <c r="B939" s="87"/>
      <c r="C939" s="87"/>
      <c r="D939" s="87"/>
      <c r="E939" s="87"/>
    </row>
    <row r="940" spans="2:67">
      <c r="B940" s="87"/>
      <c r="C940" s="87"/>
      <c r="D940" s="87"/>
      <c r="E940" s="87"/>
    </row>
    <row r="941" spans="2:67">
      <c r="B941" s="87"/>
      <c r="C941" s="87"/>
      <c r="D941" s="87"/>
      <c r="E941" s="87"/>
    </row>
    <row r="942" spans="2:67">
      <c r="B942" s="87"/>
      <c r="C942" s="87"/>
      <c r="D942" s="87"/>
      <c r="E942" s="87"/>
    </row>
    <row r="943" spans="2:67">
      <c r="B943" s="87"/>
      <c r="C943" s="87"/>
      <c r="D943" s="87"/>
      <c r="E943" s="87"/>
    </row>
    <row r="944" spans="2:67">
      <c r="B944" s="87"/>
      <c r="C944" s="87"/>
      <c r="D944" s="87"/>
      <c r="E944" s="87"/>
    </row>
    <row r="945" spans="2:67">
      <c r="B945" s="87"/>
      <c r="C945" s="87"/>
      <c r="D945" s="87"/>
      <c r="E945" s="87"/>
    </row>
    <row r="946" spans="2:67">
      <c r="B946" s="2" t="s">
        <v>1</v>
      </c>
      <c r="C946" s="2"/>
      <c r="D946" s="2"/>
      <c r="E946" s="2"/>
      <c r="F946" s="3"/>
      <c r="G946" s="4"/>
      <c r="H946" s="4"/>
      <c r="I946" s="4"/>
      <c r="J946" s="4"/>
      <c r="K946" s="4"/>
      <c r="L946" s="4"/>
      <c r="M946" s="4"/>
      <c r="N946" s="107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5"/>
      <c r="AE946" s="5"/>
      <c r="AF946" s="5"/>
      <c r="AG946" s="5"/>
      <c r="AH946" s="5"/>
      <c r="AI946" s="5"/>
      <c r="AJ946" s="5"/>
      <c r="AK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7"/>
      <c r="BI946" s="7"/>
      <c r="BJ946" s="5"/>
      <c r="BK946" s="5"/>
      <c r="BM946" s="5"/>
      <c r="BN946" s="5"/>
      <c r="BO946" s="5"/>
    </row>
    <row r="947" spans="2:67" ht="18.75" customHeight="1">
      <c r="B947" s="2"/>
      <c r="C947" s="2"/>
      <c r="D947" s="2"/>
      <c r="E947" s="2"/>
      <c r="F947" s="1" t="s">
        <v>0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9" t="s">
        <v>1070</v>
      </c>
      <c r="BG947" s="10"/>
      <c r="BH947" s="10"/>
      <c r="BI947" s="10"/>
      <c r="BJ947" s="10"/>
      <c r="BK947" s="10"/>
      <c r="BL947" s="10"/>
      <c r="BM947" s="10"/>
      <c r="BN947" s="10"/>
      <c r="BO947" s="11"/>
    </row>
    <row r="948" spans="2:67">
      <c r="B948" s="12"/>
      <c r="C948" s="12"/>
      <c r="D948" s="12"/>
      <c r="E948" s="12"/>
      <c r="F948" s="13"/>
      <c r="G948" s="14" t="s">
        <v>1071</v>
      </c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6"/>
      <c r="AM948" s="15"/>
      <c r="AN948" s="15"/>
      <c r="AO948" s="15"/>
      <c r="AP948" s="15"/>
      <c r="AQ948" s="15"/>
      <c r="AR948" s="17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8"/>
      <c r="BM948" s="15"/>
      <c r="BN948" s="15"/>
      <c r="BO948" s="15"/>
    </row>
    <row r="949" spans="2:67" ht="15">
      <c r="B949" s="19" t="s">
        <v>4</v>
      </c>
      <c r="C949" s="20" t="s">
        <v>5</v>
      </c>
      <c r="D949" s="20"/>
      <c r="E949" s="205" t="s">
        <v>6</v>
      </c>
      <c r="F949" s="110" t="s">
        <v>135</v>
      </c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  <c r="AR949" s="111"/>
      <c r="AS949" s="111"/>
      <c r="AT949" s="111"/>
      <c r="AU949" s="111"/>
      <c r="AV949" s="111"/>
      <c r="AW949" s="111"/>
      <c r="AX949" s="111"/>
      <c r="AY949" s="111"/>
      <c r="AZ949" s="111"/>
      <c r="BA949" s="111"/>
      <c r="BB949" s="111"/>
      <c r="BC949" s="111"/>
      <c r="BD949" s="111"/>
      <c r="BE949" s="111"/>
      <c r="BF949" s="24" t="s">
        <v>8</v>
      </c>
      <c r="BG949" s="25"/>
      <c r="BH949" s="25"/>
      <c r="BI949" s="26"/>
      <c r="BJ949" s="31" t="s">
        <v>9</v>
      </c>
      <c r="BK949" s="32"/>
      <c r="BL949" s="29"/>
      <c r="BM949" s="30"/>
      <c r="BN949" s="31" t="s">
        <v>10</v>
      </c>
      <c r="BO949" s="32"/>
    </row>
    <row r="950" spans="2:67" ht="110.1" customHeight="1">
      <c r="B950" s="33"/>
      <c r="C950" s="34" t="s">
        <v>11</v>
      </c>
      <c r="D950" s="35" t="s">
        <v>4</v>
      </c>
      <c r="E950" s="35" t="s">
        <v>12</v>
      </c>
      <c r="F950" s="36" t="s">
        <v>13</v>
      </c>
      <c r="G950" s="36" t="s">
        <v>14</v>
      </c>
      <c r="H950" s="36" t="s">
        <v>15</v>
      </c>
      <c r="I950" s="36" t="s">
        <v>16</v>
      </c>
      <c r="J950" s="36" t="s">
        <v>17</v>
      </c>
      <c r="K950" s="36" t="s">
        <v>18</v>
      </c>
      <c r="L950" s="36" t="s">
        <v>19</v>
      </c>
      <c r="M950" s="36" t="s">
        <v>20</v>
      </c>
      <c r="N950" s="37" t="s">
        <v>21</v>
      </c>
      <c r="O950" s="36" t="s">
        <v>22</v>
      </c>
      <c r="P950" s="36" t="s">
        <v>23</v>
      </c>
      <c r="Q950" s="36" t="s">
        <v>24</v>
      </c>
      <c r="R950" s="36" t="s">
        <v>25</v>
      </c>
      <c r="S950" s="36" t="s">
        <v>26</v>
      </c>
      <c r="T950" s="36" t="s">
        <v>27</v>
      </c>
      <c r="U950" s="36" t="s">
        <v>28</v>
      </c>
      <c r="V950" s="36" t="s">
        <v>29</v>
      </c>
      <c r="W950" s="36" t="s">
        <v>30</v>
      </c>
      <c r="X950" s="38" t="s">
        <v>31</v>
      </c>
      <c r="Y950" s="36" t="s">
        <v>32</v>
      </c>
      <c r="Z950" s="36" t="s">
        <v>33</v>
      </c>
      <c r="AA950" s="36" t="s">
        <v>34</v>
      </c>
      <c r="AB950" s="38" t="s">
        <v>35</v>
      </c>
      <c r="AC950" s="36" t="s">
        <v>36</v>
      </c>
      <c r="AD950" s="39" t="s">
        <v>37</v>
      </c>
      <c r="AE950" s="36" t="s">
        <v>38</v>
      </c>
      <c r="AF950" s="40" t="s">
        <v>39</v>
      </c>
      <c r="AG950" s="40" t="s">
        <v>40</v>
      </c>
      <c r="AH950" s="40" t="s">
        <v>41</v>
      </c>
      <c r="AI950" s="40" t="s">
        <v>42</v>
      </c>
      <c r="AJ950" s="40" t="s">
        <v>43</v>
      </c>
      <c r="AK950" s="40" t="s">
        <v>44</v>
      </c>
      <c r="AL950" s="41" t="s">
        <v>45</v>
      </c>
      <c r="AM950" s="42" t="s">
        <v>46</v>
      </c>
      <c r="AN950" s="43" t="s">
        <v>47</v>
      </c>
      <c r="AO950" s="40" t="s">
        <v>48</v>
      </c>
      <c r="AP950" s="40" t="s">
        <v>49</v>
      </c>
      <c r="AQ950" s="40" t="s">
        <v>50</v>
      </c>
      <c r="AR950" s="44" t="s">
        <v>136</v>
      </c>
      <c r="AS950" s="36" t="s">
        <v>52</v>
      </c>
      <c r="AT950" s="36" t="s">
        <v>53</v>
      </c>
      <c r="AU950" s="36" t="s">
        <v>54</v>
      </c>
      <c r="AV950" s="36" t="s">
        <v>55</v>
      </c>
      <c r="AW950" s="36" t="s">
        <v>56</v>
      </c>
      <c r="AX950" s="36" t="s">
        <v>203</v>
      </c>
      <c r="AY950" s="36" t="s">
        <v>58</v>
      </c>
      <c r="AZ950" s="38" t="s">
        <v>59</v>
      </c>
      <c r="BA950" s="36" t="s">
        <v>60</v>
      </c>
      <c r="BB950" s="36" t="s">
        <v>61</v>
      </c>
      <c r="BC950" s="39" t="s">
        <v>62</v>
      </c>
      <c r="BD950" s="36" t="s">
        <v>63</v>
      </c>
      <c r="BE950" s="36" t="s">
        <v>64</v>
      </c>
      <c r="BF950" s="45" t="s">
        <v>65</v>
      </c>
      <c r="BG950" s="45" t="s">
        <v>66</v>
      </c>
      <c r="BH950" s="45" t="s">
        <v>67</v>
      </c>
      <c r="BI950" s="45" t="s">
        <v>68</v>
      </c>
      <c r="BJ950" s="46" t="s">
        <v>69</v>
      </c>
      <c r="BK950" s="46" t="s">
        <v>70</v>
      </c>
      <c r="BL950" s="47" t="s">
        <v>71</v>
      </c>
      <c r="BM950" s="48" t="s">
        <v>72</v>
      </c>
      <c r="BN950" s="49" t="s">
        <v>69</v>
      </c>
      <c r="BO950" s="50" t="s">
        <v>70</v>
      </c>
    </row>
    <row r="951" spans="2:67" ht="18.95" customHeight="1">
      <c r="B951" s="51" t="s">
        <v>73</v>
      </c>
      <c r="C951" s="52" t="s">
        <v>1072</v>
      </c>
      <c r="D951" s="53" t="s">
        <v>73</v>
      </c>
      <c r="E951" s="115" t="s">
        <v>1073</v>
      </c>
      <c r="F951" s="55"/>
      <c r="G951" s="55"/>
      <c r="H951" s="55"/>
      <c r="I951" s="55"/>
      <c r="J951" s="55"/>
      <c r="K951" s="55"/>
      <c r="L951" s="55"/>
      <c r="M951" s="55"/>
      <c r="N951" s="56"/>
      <c r="O951" s="55"/>
      <c r="P951" s="55"/>
      <c r="Q951" s="57"/>
      <c r="R951" s="55"/>
      <c r="S951" s="58"/>
      <c r="T951" s="58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7"/>
      <c r="AF951" s="57"/>
      <c r="AG951" s="57"/>
      <c r="AH951" s="57"/>
      <c r="AI951" s="57"/>
      <c r="AJ951" s="57"/>
      <c r="AK951" s="57"/>
      <c r="AL951" s="59"/>
      <c r="AM951" s="57"/>
      <c r="AN951" s="57"/>
      <c r="AO951" s="55"/>
      <c r="AP951" s="55"/>
      <c r="AQ951" s="57"/>
      <c r="AR951" s="60"/>
      <c r="AS951" s="57"/>
      <c r="AT951" s="57"/>
      <c r="AU951" s="57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>
        <v>1</v>
      </c>
      <c r="BF951" s="55"/>
      <c r="BG951" s="62"/>
      <c r="BH951" s="63">
        <f t="shared" ref="BH951:BH960" si="41">SUM(F951:BG951)</f>
        <v>1</v>
      </c>
      <c r="BI951" s="64">
        <v>1</v>
      </c>
      <c r="BJ951" s="62"/>
      <c r="BK951" s="203">
        <f t="shared" ref="BK951:BK980" si="42">BH951-BI951</f>
        <v>0</v>
      </c>
      <c r="BL951" s="64"/>
      <c r="BM951" s="65"/>
      <c r="BN951" s="65"/>
      <c r="BO951" s="65"/>
    </row>
    <row r="952" spans="2:67" ht="18.75" customHeight="1">
      <c r="B952" s="51" t="s">
        <v>76</v>
      </c>
      <c r="C952" s="52" t="s">
        <v>1072</v>
      </c>
      <c r="D952" s="53" t="s">
        <v>76</v>
      </c>
      <c r="E952" s="114" t="s">
        <v>1074</v>
      </c>
      <c r="F952" s="66"/>
      <c r="G952" s="66"/>
      <c r="H952" s="66"/>
      <c r="I952" s="66"/>
      <c r="J952" s="66"/>
      <c r="K952" s="66"/>
      <c r="L952" s="66"/>
      <c r="M952" s="66"/>
      <c r="N952" s="67"/>
      <c r="O952" s="66"/>
      <c r="P952" s="66"/>
      <c r="Q952" s="66"/>
      <c r="R952" s="66">
        <v>0</v>
      </c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8"/>
      <c r="AS952" s="66"/>
      <c r="AT952" s="66"/>
      <c r="AU952" s="66"/>
      <c r="AV952" s="69"/>
      <c r="AW952" s="69"/>
      <c r="AX952" s="69"/>
      <c r="AY952" s="69"/>
      <c r="AZ952" s="69"/>
      <c r="BA952" s="69"/>
      <c r="BB952" s="69"/>
      <c r="BC952" s="69"/>
      <c r="BD952" s="69"/>
      <c r="BE952" s="69"/>
      <c r="BF952" s="55"/>
      <c r="BG952" s="70"/>
      <c r="BH952" s="63">
        <f t="shared" si="41"/>
        <v>0</v>
      </c>
      <c r="BI952" s="63">
        <v>3</v>
      </c>
      <c r="BJ952" s="70"/>
      <c r="BK952" s="203">
        <f t="shared" si="42"/>
        <v>-3</v>
      </c>
      <c r="BL952" s="63"/>
      <c r="BM952" s="71"/>
      <c r="BN952" s="71"/>
      <c r="BO952" s="72"/>
    </row>
    <row r="953" spans="2:67" ht="18.75" customHeight="1">
      <c r="B953" s="51" t="s">
        <v>78</v>
      </c>
      <c r="C953" s="52" t="s">
        <v>1072</v>
      </c>
      <c r="D953" s="53" t="s">
        <v>78</v>
      </c>
      <c r="E953" s="115" t="s">
        <v>1075</v>
      </c>
      <c r="F953" s="66"/>
      <c r="G953" s="66"/>
      <c r="H953" s="66"/>
      <c r="I953" s="66"/>
      <c r="J953" s="66"/>
      <c r="K953" s="66"/>
      <c r="L953" s="66"/>
      <c r="M953" s="66"/>
      <c r="N953" s="67"/>
      <c r="O953" s="66"/>
      <c r="P953" s="66"/>
      <c r="Q953" s="66"/>
      <c r="R953" s="66">
        <v>3</v>
      </c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8"/>
      <c r="AS953" s="66"/>
      <c r="AT953" s="66"/>
      <c r="AU953" s="66"/>
      <c r="AV953" s="69"/>
      <c r="AW953" s="69"/>
      <c r="AX953" s="69"/>
      <c r="AY953" s="69"/>
      <c r="AZ953" s="69"/>
      <c r="BA953" s="69"/>
      <c r="BB953" s="69"/>
      <c r="BC953" s="69"/>
      <c r="BD953" s="69"/>
      <c r="BE953" s="69"/>
      <c r="BF953" s="55"/>
      <c r="BG953" s="70"/>
      <c r="BH953" s="63">
        <f t="shared" si="41"/>
        <v>3</v>
      </c>
      <c r="BI953" s="63">
        <v>3</v>
      </c>
      <c r="BJ953" s="70"/>
      <c r="BK953" s="203">
        <f t="shared" si="42"/>
        <v>0</v>
      </c>
      <c r="BL953" s="63"/>
      <c r="BM953" s="71"/>
      <c r="BN953" s="72"/>
      <c r="BO953" s="71"/>
    </row>
    <row r="954" spans="2:67" ht="18.95" customHeight="1">
      <c r="B954" s="51" t="s">
        <v>80</v>
      </c>
      <c r="C954" s="52" t="s">
        <v>1072</v>
      </c>
      <c r="D954" s="53" t="s">
        <v>80</v>
      </c>
      <c r="E954" s="115" t="s">
        <v>1076</v>
      </c>
      <c r="F954" s="66"/>
      <c r="G954" s="66"/>
      <c r="H954" s="66"/>
      <c r="I954" s="66"/>
      <c r="J954" s="66"/>
      <c r="K954" s="66"/>
      <c r="L954" s="66"/>
      <c r="M954" s="66"/>
      <c r="N954" s="67"/>
      <c r="O954" s="66"/>
      <c r="P954" s="66"/>
      <c r="Q954" s="66"/>
      <c r="R954" s="66">
        <v>3</v>
      </c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8"/>
      <c r="AS954" s="66"/>
      <c r="AT954" s="66"/>
      <c r="AU954" s="66"/>
      <c r="AV954" s="69"/>
      <c r="AW954" s="69"/>
      <c r="AX954" s="69"/>
      <c r="AY954" s="69"/>
      <c r="AZ954" s="69"/>
      <c r="BA954" s="69"/>
      <c r="BB954" s="69"/>
      <c r="BC954" s="69"/>
      <c r="BD954" s="69"/>
      <c r="BE954" s="69"/>
      <c r="BF954" s="55"/>
      <c r="BG954" s="70"/>
      <c r="BH954" s="63">
        <f t="shared" si="41"/>
        <v>3</v>
      </c>
      <c r="BI954" s="63">
        <v>3</v>
      </c>
      <c r="BJ954" s="70"/>
      <c r="BK954" s="203">
        <f t="shared" si="42"/>
        <v>0</v>
      </c>
      <c r="BL954" s="63"/>
      <c r="BM954" s="71"/>
      <c r="BN954" s="71"/>
      <c r="BO954" s="71"/>
    </row>
    <row r="955" spans="2:67" ht="18.75" customHeight="1">
      <c r="B955" s="51" t="s">
        <v>82</v>
      </c>
      <c r="C955" s="52" t="s">
        <v>1072</v>
      </c>
      <c r="D955" s="53" t="s">
        <v>82</v>
      </c>
      <c r="E955" s="115" t="s">
        <v>1077</v>
      </c>
      <c r="F955" s="66"/>
      <c r="G955" s="66"/>
      <c r="H955" s="66"/>
      <c r="I955" s="66"/>
      <c r="J955" s="66"/>
      <c r="K955" s="66"/>
      <c r="L955" s="66"/>
      <c r="M955" s="66"/>
      <c r="N955" s="67"/>
      <c r="O955" s="66"/>
      <c r="P955" s="66"/>
      <c r="Q955" s="66"/>
      <c r="R955" s="66">
        <v>0</v>
      </c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8"/>
      <c r="AS955" s="66"/>
      <c r="AT955" s="66"/>
      <c r="AU955" s="66"/>
      <c r="AV955" s="69"/>
      <c r="AW955" s="69"/>
      <c r="AX955" s="69"/>
      <c r="AY955" s="69"/>
      <c r="AZ955" s="69"/>
      <c r="BA955" s="69"/>
      <c r="BB955" s="69"/>
      <c r="BC955" s="69"/>
      <c r="BD955" s="69"/>
      <c r="BE955" s="69"/>
      <c r="BF955" s="55">
        <v>0</v>
      </c>
      <c r="BG955" s="70"/>
      <c r="BH955" s="63">
        <f t="shared" si="41"/>
        <v>0</v>
      </c>
      <c r="BI955" s="63">
        <v>1</v>
      </c>
      <c r="BJ955" s="70"/>
      <c r="BK955" s="203">
        <f t="shared" si="42"/>
        <v>-1</v>
      </c>
      <c r="BL955" s="63"/>
      <c r="BM955" s="71"/>
      <c r="BN955" s="71"/>
      <c r="BO955" s="71"/>
    </row>
    <row r="956" spans="2:67" ht="18.75" customHeight="1">
      <c r="B956" s="51" t="s">
        <v>84</v>
      </c>
      <c r="C956" s="52" t="s">
        <v>1072</v>
      </c>
      <c r="D956" s="53" t="s">
        <v>84</v>
      </c>
      <c r="E956" s="115" t="s">
        <v>1078</v>
      </c>
      <c r="F956" s="66"/>
      <c r="G956" s="66"/>
      <c r="H956" s="66"/>
      <c r="I956" s="66"/>
      <c r="J956" s="66"/>
      <c r="K956" s="66"/>
      <c r="L956" s="66"/>
      <c r="M956" s="66"/>
      <c r="N956" s="67"/>
      <c r="O956" s="66"/>
      <c r="P956" s="66"/>
      <c r="Q956" s="66"/>
      <c r="R956" s="66">
        <v>1</v>
      </c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8"/>
      <c r="AS956" s="66"/>
      <c r="AT956" s="66"/>
      <c r="AU956" s="66"/>
      <c r="AV956" s="69"/>
      <c r="AW956" s="69"/>
      <c r="AX956" s="69"/>
      <c r="AY956" s="69"/>
      <c r="AZ956" s="69"/>
      <c r="BA956" s="69"/>
      <c r="BB956" s="69"/>
      <c r="BC956" s="69"/>
      <c r="BD956" s="69"/>
      <c r="BE956" s="69"/>
      <c r="BF956" s="55"/>
      <c r="BG956" s="70"/>
      <c r="BH956" s="63">
        <f t="shared" si="41"/>
        <v>1</v>
      </c>
      <c r="BI956" s="63">
        <v>1</v>
      </c>
      <c r="BJ956" s="70"/>
      <c r="BK956" s="203">
        <f t="shared" si="42"/>
        <v>0</v>
      </c>
      <c r="BL956" s="63"/>
      <c r="BM956" s="71"/>
      <c r="BN956" s="71"/>
      <c r="BO956" s="71"/>
    </row>
    <row r="957" spans="2:67" ht="18.95" customHeight="1">
      <c r="B957" s="51" t="s">
        <v>86</v>
      </c>
      <c r="C957" s="52" t="s">
        <v>1072</v>
      </c>
      <c r="D957" s="53" t="s">
        <v>86</v>
      </c>
      <c r="E957" s="115" t="s">
        <v>1079</v>
      </c>
      <c r="F957" s="66"/>
      <c r="G957" s="66"/>
      <c r="H957" s="66"/>
      <c r="I957" s="66"/>
      <c r="J957" s="66"/>
      <c r="K957" s="66"/>
      <c r="L957" s="66"/>
      <c r="M957" s="66"/>
      <c r="N957" s="67"/>
      <c r="O957" s="66"/>
      <c r="P957" s="66"/>
      <c r="Q957" s="66"/>
      <c r="R957" s="66">
        <v>0</v>
      </c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8"/>
      <c r="AS957" s="66"/>
      <c r="AT957" s="66"/>
      <c r="AU957" s="66"/>
      <c r="AV957" s="69"/>
      <c r="AW957" s="69"/>
      <c r="AX957" s="69"/>
      <c r="AY957" s="69"/>
      <c r="AZ957" s="69"/>
      <c r="BA957" s="69"/>
      <c r="BB957" s="69"/>
      <c r="BC957" s="69"/>
      <c r="BD957" s="69"/>
      <c r="BE957" s="69"/>
      <c r="BF957" s="55"/>
      <c r="BG957" s="70"/>
      <c r="BH957" s="63">
        <f t="shared" si="41"/>
        <v>0</v>
      </c>
      <c r="BI957" s="63">
        <v>3</v>
      </c>
      <c r="BJ957" s="70"/>
      <c r="BK957" s="203">
        <f t="shared" si="42"/>
        <v>-3</v>
      </c>
      <c r="BL957" s="63"/>
      <c r="BM957" s="71"/>
      <c r="BN957" s="71"/>
      <c r="BO957" s="71"/>
    </row>
    <row r="958" spans="2:67" ht="18.95" customHeight="1">
      <c r="B958" s="51" t="s">
        <v>88</v>
      </c>
      <c r="C958" s="52" t="s">
        <v>1072</v>
      </c>
      <c r="D958" s="53" t="s">
        <v>88</v>
      </c>
      <c r="E958" s="115" t="s">
        <v>1080</v>
      </c>
      <c r="F958" s="66"/>
      <c r="G958" s="66"/>
      <c r="H958" s="66"/>
      <c r="I958" s="66"/>
      <c r="J958" s="66"/>
      <c r="K958" s="66"/>
      <c r="L958" s="66"/>
      <c r="M958" s="66"/>
      <c r="N958" s="67"/>
      <c r="O958" s="66"/>
      <c r="P958" s="66"/>
      <c r="Q958" s="66"/>
      <c r="R958" s="66">
        <v>0</v>
      </c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8"/>
      <c r="AS958" s="66"/>
      <c r="AT958" s="66"/>
      <c r="AU958" s="66"/>
      <c r="AV958" s="69"/>
      <c r="AW958" s="69"/>
      <c r="AX958" s="69"/>
      <c r="AY958" s="69"/>
      <c r="AZ958" s="69"/>
      <c r="BA958" s="69"/>
      <c r="BB958" s="69"/>
      <c r="BC958" s="69"/>
      <c r="BD958" s="69"/>
      <c r="BE958" s="69"/>
      <c r="BF958" s="55"/>
      <c r="BG958" s="70"/>
      <c r="BH958" s="63">
        <f t="shared" si="41"/>
        <v>0</v>
      </c>
      <c r="BI958" s="63">
        <v>3</v>
      </c>
      <c r="BJ958" s="70"/>
      <c r="BK958" s="203">
        <f t="shared" si="42"/>
        <v>-3</v>
      </c>
      <c r="BL958" s="63"/>
      <c r="BM958" s="71"/>
      <c r="BN958" s="71"/>
      <c r="BO958" s="71"/>
    </row>
    <row r="959" spans="2:67" ht="18.95" customHeight="1">
      <c r="B959" s="51" t="s">
        <v>90</v>
      </c>
      <c r="C959" s="52" t="s">
        <v>1072</v>
      </c>
      <c r="D959" s="53" t="s">
        <v>90</v>
      </c>
      <c r="E959" s="114" t="s">
        <v>1081</v>
      </c>
      <c r="F959" s="66"/>
      <c r="G959" s="66"/>
      <c r="H959" s="66"/>
      <c r="I959" s="66"/>
      <c r="J959" s="66"/>
      <c r="K959" s="66"/>
      <c r="L959" s="66"/>
      <c r="M959" s="66"/>
      <c r="N959" s="67"/>
      <c r="O959" s="66"/>
      <c r="P959" s="66"/>
      <c r="Q959" s="66"/>
      <c r="R959" s="66">
        <v>1</v>
      </c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8"/>
      <c r="AS959" s="66"/>
      <c r="AT959" s="66"/>
      <c r="AU959" s="66"/>
      <c r="AV959" s="69"/>
      <c r="AW959" s="69"/>
      <c r="AX959" s="69"/>
      <c r="AY959" s="69"/>
      <c r="AZ959" s="69"/>
      <c r="BA959" s="69"/>
      <c r="BB959" s="69"/>
      <c r="BC959" s="69"/>
      <c r="BD959" s="69"/>
      <c r="BE959" s="69"/>
      <c r="BF959" s="55"/>
      <c r="BG959" s="70"/>
      <c r="BH959" s="63">
        <f t="shared" si="41"/>
        <v>1</v>
      </c>
      <c r="BI959" s="63">
        <v>6</v>
      </c>
      <c r="BJ959" s="70"/>
      <c r="BK959" s="203">
        <f t="shared" si="42"/>
        <v>-5</v>
      </c>
      <c r="BL959" s="63"/>
      <c r="BM959" s="71"/>
      <c r="BN959" s="71"/>
      <c r="BO959" s="71"/>
    </row>
    <row r="960" spans="2:67" ht="18.75" customHeight="1">
      <c r="B960" s="51" t="s">
        <v>92</v>
      </c>
      <c r="C960" s="52" t="s">
        <v>1072</v>
      </c>
      <c r="D960" s="53" t="s">
        <v>92</v>
      </c>
      <c r="E960" s="114" t="s">
        <v>1082</v>
      </c>
      <c r="F960" s="66"/>
      <c r="G960" s="66"/>
      <c r="H960" s="66"/>
      <c r="I960" s="66"/>
      <c r="J960" s="66"/>
      <c r="K960" s="66"/>
      <c r="L960" s="66"/>
      <c r="M960" s="66"/>
      <c r="N960" s="67"/>
      <c r="O960" s="66"/>
      <c r="P960" s="66"/>
      <c r="Q960" s="66"/>
      <c r="R960" s="66">
        <v>2</v>
      </c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8"/>
      <c r="AS960" s="66"/>
      <c r="AT960" s="66"/>
      <c r="AU960" s="66"/>
      <c r="AV960" s="69"/>
      <c r="AW960" s="69"/>
      <c r="AX960" s="69"/>
      <c r="AY960" s="69"/>
      <c r="AZ960" s="69"/>
      <c r="BA960" s="69"/>
      <c r="BB960" s="69"/>
      <c r="BC960" s="69"/>
      <c r="BD960" s="69"/>
      <c r="BE960" s="69"/>
      <c r="BF960" s="55"/>
      <c r="BG960" s="70"/>
      <c r="BH960" s="63">
        <f t="shared" si="41"/>
        <v>2</v>
      </c>
      <c r="BI960" s="63">
        <v>2</v>
      </c>
      <c r="BJ960" s="70"/>
      <c r="BK960" s="203">
        <f t="shared" si="42"/>
        <v>0</v>
      </c>
      <c r="BL960" s="63"/>
      <c r="BM960" s="71"/>
      <c r="BN960" s="71"/>
      <c r="BO960" s="71"/>
    </row>
    <row r="961" spans="2:67" ht="18.75" customHeight="1">
      <c r="B961" s="51" t="s">
        <v>94</v>
      </c>
      <c r="C961" s="52" t="s">
        <v>1072</v>
      </c>
      <c r="D961" s="53" t="s">
        <v>94</v>
      </c>
      <c r="E961" s="115" t="s">
        <v>1083</v>
      </c>
      <c r="F961" s="66"/>
      <c r="G961" s="66"/>
      <c r="H961" s="66"/>
      <c r="I961" s="66"/>
      <c r="J961" s="66"/>
      <c r="K961" s="66"/>
      <c r="L961" s="66"/>
      <c r="M961" s="66"/>
      <c r="N961" s="67"/>
      <c r="O961" s="66"/>
      <c r="P961" s="66"/>
      <c r="Q961" s="66"/>
      <c r="R961" s="66">
        <v>0</v>
      </c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8"/>
      <c r="AS961" s="66"/>
      <c r="AT961" s="66"/>
      <c r="AU961" s="66"/>
      <c r="AV961" s="69"/>
      <c r="AW961" s="69"/>
      <c r="AX961" s="69"/>
      <c r="AY961" s="69"/>
      <c r="AZ961" s="69"/>
      <c r="BA961" s="69"/>
      <c r="BB961" s="69"/>
      <c r="BC961" s="69"/>
      <c r="BD961" s="69"/>
      <c r="BE961" s="69"/>
      <c r="BF961" s="55"/>
      <c r="BG961" s="70"/>
      <c r="BH961" s="63">
        <v>2</v>
      </c>
      <c r="BI961" s="63">
        <v>2</v>
      </c>
      <c r="BJ961" s="70"/>
      <c r="BK961" s="203">
        <f t="shared" si="42"/>
        <v>0</v>
      </c>
      <c r="BL961" s="63"/>
      <c r="BM961" s="71"/>
      <c r="BN961" s="71"/>
      <c r="BO961" s="71"/>
    </row>
    <row r="962" spans="2:67" ht="18.95" customHeight="1">
      <c r="B962" s="51" t="s">
        <v>96</v>
      </c>
      <c r="C962" s="52" t="s">
        <v>1072</v>
      </c>
      <c r="D962" s="53" t="s">
        <v>96</v>
      </c>
      <c r="E962" s="115" t="s">
        <v>1084</v>
      </c>
      <c r="F962" s="66"/>
      <c r="G962" s="66"/>
      <c r="H962" s="66"/>
      <c r="I962" s="66"/>
      <c r="J962" s="66"/>
      <c r="K962" s="66"/>
      <c r="L962" s="66"/>
      <c r="M962" s="66"/>
      <c r="N962" s="67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8"/>
      <c r="AS962" s="66"/>
      <c r="AT962" s="66"/>
      <c r="AU962" s="66"/>
      <c r="AV962" s="69"/>
      <c r="AW962" s="69"/>
      <c r="AX962" s="69"/>
      <c r="AY962" s="69"/>
      <c r="AZ962" s="69"/>
      <c r="BA962" s="69"/>
      <c r="BB962" s="69"/>
      <c r="BC962" s="69"/>
      <c r="BD962" s="69"/>
      <c r="BE962" s="69">
        <v>59</v>
      </c>
      <c r="BF962" s="55"/>
      <c r="BG962" s="70"/>
      <c r="BH962" s="63">
        <f t="shared" ref="BH962:BH980" si="43">SUM(F962:BG962)</f>
        <v>59</v>
      </c>
      <c r="BI962" s="63">
        <v>59</v>
      </c>
      <c r="BJ962" s="70"/>
      <c r="BK962" s="203">
        <f t="shared" si="42"/>
        <v>0</v>
      </c>
      <c r="BL962" s="63"/>
      <c r="BM962" s="71"/>
      <c r="BN962" s="71"/>
      <c r="BO962" s="71"/>
    </row>
    <row r="963" spans="2:67" ht="18.75" customHeight="1">
      <c r="B963" s="51" t="s">
        <v>98</v>
      </c>
      <c r="C963" s="52" t="s">
        <v>1072</v>
      </c>
      <c r="D963" s="53" t="s">
        <v>98</v>
      </c>
      <c r="E963" s="114" t="s">
        <v>1085</v>
      </c>
      <c r="F963" s="66"/>
      <c r="G963" s="66"/>
      <c r="H963" s="66"/>
      <c r="I963" s="66"/>
      <c r="J963" s="66"/>
      <c r="K963" s="66"/>
      <c r="L963" s="66"/>
      <c r="M963" s="66"/>
      <c r="N963" s="67"/>
      <c r="O963" s="66"/>
      <c r="P963" s="66"/>
      <c r="Q963" s="66"/>
      <c r="R963" s="66">
        <v>108</v>
      </c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  <c r="AO963" s="66"/>
      <c r="AP963" s="66"/>
      <c r="AQ963" s="66"/>
      <c r="AR963" s="68"/>
      <c r="AS963" s="66"/>
      <c r="AT963" s="66"/>
      <c r="AU963" s="66"/>
      <c r="AV963" s="69"/>
      <c r="AW963" s="69"/>
      <c r="AX963" s="69"/>
      <c r="AY963" s="69"/>
      <c r="AZ963" s="69"/>
      <c r="BA963" s="69"/>
      <c r="BB963" s="69"/>
      <c r="BC963" s="69"/>
      <c r="BD963" s="69"/>
      <c r="BE963" s="69"/>
      <c r="BF963" s="55"/>
      <c r="BG963" s="70"/>
      <c r="BH963" s="63">
        <f t="shared" si="43"/>
        <v>108</v>
      </c>
      <c r="BI963" s="63">
        <v>200</v>
      </c>
      <c r="BJ963" s="70"/>
      <c r="BK963" s="203">
        <f t="shared" si="42"/>
        <v>-92</v>
      </c>
      <c r="BL963" s="63"/>
      <c r="BM963" s="71"/>
      <c r="BN963" s="71"/>
      <c r="BO963" s="71"/>
    </row>
    <row r="964" spans="2:67" ht="18.95" customHeight="1">
      <c r="B964" s="51" t="s">
        <v>100</v>
      </c>
      <c r="C964" s="52" t="s">
        <v>1072</v>
      </c>
      <c r="D964" s="53" t="s">
        <v>100</v>
      </c>
      <c r="E964" s="115" t="s">
        <v>1086</v>
      </c>
      <c r="F964" s="66"/>
      <c r="G964" s="66"/>
      <c r="H964" s="66"/>
      <c r="I964" s="66"/>
      <c r="J964" s="66"/>
      <c r="K964" s="66"/>
      <c r="L964" s="66"/>
      <c r="M964" s="66"/>
      <c r="N964" s="67"/>
      <c r="O964" s="66"/>
      <c r="P964" s="66"/>
      <c r="Q964" s="66"/>
      <c r="R964" s="66">
        <v>2</v>
      </c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8"/>
      <c r="AS964" s="66"/>
      <c r="AT964" s="66"/>
      <c r="AU964" s="66"/>
      <c r="AV964" s="69"/>
      <c r="AW964" s="69"/>
      <c r="AX964" s="69"/>
      <c r="AY964" s="69"/>
      <c r="AZ964" s="69"/>
      <c r="BA964" s="69"/>
      <c r="BB964" s="69"/>
      <c r="BC964" s="69"/>
      <c r="BD964" s="69"/>
      <c r="BE964" s="69"/>
      <c r="BF964" s="55"/>
      <c r="BG964" s="70"/>
      <c r="BH964" s="63">
        <f t="shared" si="43"/>
        <v>2</v>
      </c>
      <c r="BI964" s="63">
        <v>2</v>
      </c>
      <c r="BJ964" s="70"/>
      <c r="BK964" s="203">
        <f t="shared" si="42"/>
        <v>0</v>
      </c>
      <c r="BL964" s="63"/>
      <c r="BM964" s="71"/>
      <c r="BN964" s="71"/>
      <c r="BO964" s="71"/>
    </row>
    <row r="965" spans="2:67" ht="18.95" customHeight="1">
      <c r="B965" s="51" t="s">
        <v>102</v>
      </c>
      <c r="C965" s="52" t="s">
        <v>1072</v>
      </c>
      <c r="D965" s="53" t="s">
        <v>102</v>
      </c>
      <c r="E965" s="115" t="s">
        <v>1087</v>
      </c>
      <c r="F965" s="66"/>
      <c r="G965" s="66"/>
      <c r="H965" s="66"/>
      <c r="I965" s="66"/>
      <c r="J965" s="66"/>
      <c r="K965" s="66"/>
      <c r="L965" s="66"/>
      <c r="M965" s="66"/>
      <c r="N965" s="67"/>
      <c r="O965" s="66"/>
      <c r="P965" s="66"/>
      <c r="Q965" s="66"/>
      <c r="R965" s="66">
        <v>2</v>
      </c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8"/>
      <c r="AS965" s="66"/>
      <c r="AT965" s="66"/>
      <c r="AU965" s="66"/>
      <c r="AV965" s="69"/>
      <c r="AW965" s="69"/>
      <c r="AX965" s="69"/>
      <c r="AY965" s="69"/>
      <c r="AZ965" s="69"/>
      <c r="BA965" s="69"/>
      <c r="BB965" s="69"/>
      <c r="BC965" s="69"/>
      <c r="BD965" s="69"/>
      <c r="BE965" s="69"/>
      <c r="BF965" s="55"/>
      <c r="BG965" s="70"/>
      <c r="BH965" s="63">
        <f t="shared" si="43"/>
        <v>2</v>
      </c>
      <c r="BI965" s="63">
        <v>5</v>
      </c>
      <c r="BJ965" s="70"/>
      <c r="BK965" s="203">
        <f t="shared" si="42"/>
        <v>-3</v>
      </c>
      <c r="BL965" s="63"/>
      <c r="BM965" s="71"/>
      <c r="BN965" s="71"/>
      <c r="BO965" s="71"/>
    </row>
    <row r="966" spans="2:67" ht="18.75" customHeight="1">
      <c r="B966" s="51" t="s">
        <v>104</v>
      </c>
      <c r="C966" s="52" t="s">
        <v>1072</v>
      </c>
      <c r="D966" s="53" t="s">
        <v>104</v>
      </c>
      <c r="E966" s="115" t="s">
        <v>1088</v>
      </c>
      <c r="F966" s="66"/>
      <c r="G966" s="66"/>
      <c r="H966" s="66"/>
      <c r="I966" s="66"/>
      <c r="J966" s="66"/>
      <c r="K966" s="66"/>
      <c r="L966" s="66"/>
      <c r="M966" s="66"/>
      <c r="N966" s="67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8"/>
      <c r="AS966" s="66"/>
      <c r="AT966" s="66"/>
      <c r="AU966" s="66"/>
      <c r="AV966" s="69"/>
      <c r="AW966" s="69"/>
      <c r="AX966" s="69"/>
      <c r="AY966" s="69"/>
      <c r="AZ966" s="69"/>
      <c r="BA966" s="69"/>
      <c r="BB966" s="69"/>
      <c r="BC966" s="69"/>
      <c r="BD966" s="69"/>
      <c r="BE966" s="69">
        <v>1</v>
      </c>
      <c r="BF966" s="55"/>
      <c r="BG966" s="70"/>
      <c r="BH966" s="63">
        <f t="shared" si="43"/>
        <v>1</v>
      </c>
      <c r="BI966" s="63">
        <v>1</v>
      </c>
      <c r="BJ966" s="70"/>
      <c r="BK966" s="203">
        <f t="shared" si="42"/>
        <v>0</v>
      </c>
      <c r="BL966" s="63"/>
      <c r="BM966" s="71"/>
      <c r="BN966" s="71"/>
      <c r="BO966" s="71"/>
    </row>
    <row r="967" spans="2:67" ht="18.95" customHeight="1">
      <c r="B967" s="51" t="s">
        <v>106</v>
      </c>
      <c r="C967" s="52" t="s">
        <v>1072</v>
      </c>
      <c r="D967" s="53" t="s">
        <v>106</v>
      </c>
      <c r="E967" s="115" t="s">
        <v>1089</v>
      </c>
      <c r="F967" s="66"/>
      <c r="G967" s="66"/>
      <c r="H967" s="66"/>
      <c r="I967" s="66"/>
      <c r="J967" s="66"/>
      <c r="K967" s="66"/>
      <c r="L967" s="66"/>
      <c r="M967" s="66"/>
      <c r="N967" s="67"/>
      <c r="O967" s="66"/>
      <c r="P967" s="66"/>
      <c r="Q967" s="66"/>
      <c r="R967" s="66">
        <v>1</v>
      </c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8"/>
      <c r="AS967" s="66"/>
      <c r="AT967" s="66"/>
      <c r="AU967" s="66"/>
      <c r="AV967" s="69"/>
      <c r="AW967" s="69"/>
      <c r="AX967" s="69"/>
      <c r="AY967" s="69"/>
      <c r="AZ967" s="69"/>
      <c r="BA967" s="69"/>
      <c r="BB967" s="69"/>
      <c r="BC967" s="69"/>
      <c r="BD967" s="69"/>
      <c r="BE967" s="69"/>
      <c r="BF967" s="55"/>
      <c r="BG967" s="70"/>
      <c r="BH967" s="63">
        <f t="shared" si="43"/>
        <v>1</v>
      </c>
      <c r="BI967" s="63">
        <v>1</v>
      </c>
      <c r="BJ967" s="70"/>
      <c r="BK967" s="203">
        <f t="shared" si="42"/>
        <v>0</v>
      </c>
      <c r="BL967" s="63"/>
      <c r="BM967" s="71"/>
      <c r="BN967" s="71"/>
      <c r="BO967" s="71"/>
    </row>
    <row r="968" spans="2:67" ht="18.75" customHeight="1">
      <c r="B968" s="51" t="s">
        <v>108</v>
      </c>
      <c r="C968" s="52" t="s">
        <v>1072</v>
      </c>
      <c r="D968" s="53" t="s">
        <v>108</v>
      </c>
      <c r="E968" s="115" t="s">
        <v>1090</v>
      </c>
      <c r="F968" s="66"/>
      <c r="G968" s="66"/>
      <c r="H968" s="66"/>
      <c r="I968" s="66"/>
      <c r="J968" s="66"/>
      <c r="K968" s="66"/>
      <c r="L968" s="66"/>
      <c r="M968" s="66"/>
      <c r="N968" s="67"/>
      <c r="O968" s="66"/>
      <c r="P968" s="66"/>
      <c r="Q968" s="66"/>
      <c r="R968" s="66">
        <v>1</v>
      </c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8"/>
      <c r="AS968" s="66"/>
      <c r="AT968" s="66"/>
      <c r="AU968" s="66"/>
      <c r="AV968" s="69"/>
      <c r="AW968" s="69"/>
      <c r="AX968" s="69"/>
      <c r="AY968" s="69"/>
      <c r="AZ968" s="69"/>
      <c r="BA968" s="69"/>
      <c r="BB968" s="69"/>
      <c r="BC968" s="69"/>
      <c r="BD968" s="69"/>
      <c r="BE968" s="69"/>
      <c r="BF968" s="55"/>
      <c r="BG968" s="70"/>
      <c r="BH968" s="63">
        <f t="shared" si="43"/>
        <v>1</v>
      </c>
      <c r="BI968" s="63">
        <v>2</v>
      </c>
      <c r="BJ968" s="70"/>
      <c r="BK968" s="203">
        <f t="shared" si="42"/>
        <v>-1</v>
      </c>
      <c r="BL968" s="63"/>
      <c r="BM968" s="71"/>
      <c r="BN968" s="71"/>
      <c r="BO968" s="71"/>
    </row>
    <row r="969" spans="2:67" ht="18.75" customHeight="1">
      <c r="B969" s="51" t="s">
        <v>110</v>
      </c>
      <c r="C969" s="52" t="s">
        <v>1072</v>
      </c>
      <c r="D969" s="53" t="s">
        <v>110</v>
      </c>
      <c r="E969" s="115" t="s">
        <v>1091</v>
      </c>
      <c r="F969" s="66"/>
      <c r="G969" s="66"/>
      <c r="H969" s="66"/>
      <c r="I969" s="66"/>
      <c r="J969" s="66"/>
      <c r="K969" s="66"/>
      <c r="L969" s="66"/>
      <c r="M969" s="66"/>
      <c r="N969" s="67"/>
      <c r="O969" s="66"/>
      <c r="P969" s="66"/>
      <c r="Q969" s="66"/>
      <c r="R969" s="66">
        <v>1</v>
      </c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8"/>
      <c r="AS969" s="66"/>
      <c r="AT969" s="66"/>
      <c r="AU969" s="66"/>
      <c r="AV969" s="69"/>
      <c r="AW969" s="69"/>
      <c r="AX969" s="69"/>
      <c r="AY969" s="69"/>
      <c r="AZ969" s="69"/>
      <c r="BA969" s="69"/>
      <c r="BB969" s="69"/>
      <c r="BC969" s="69"/>
      <c r="BD969" s="69"/>
      <c r="BE969" s="69"/>
      <c r="BF969" s="55"/>
      <c r="BG969" s="70"/>
      <c r="BH969" s="63">
        <f t="shared" si="43"/>
        <v>1</v>
      </c>
      <c r="BI969" s="63">
        <v>1</v>
      </c>
      <c r="BJ969" s="70"/>
      <c r="BK969" s="203">
        <f t="shared" si="42"/>
        <v>0</v>
      </c>
      <c r="BL969" s="63"/>
      <c r="BM969" s="71"/>
      <c r="BN969" s="71"/>
      <c r="BO969" s="71"/>
    </row>
    <row r="970" spans="2:67">
      <c r="B970" s="51" t="s">
        <v>112</v>
      </c>
      <c r="C970" s="52" t="s">
        <v>1072</v>
      </c>
      <c r="D970" s="53" t="s">
        <v>112</v>
      </c>
      <c r="E970" s="115" t="s">
        <v>1092</v>
      </c>
      <c r="F970" s="66"/>
      <c r="G970" s="66"/>
      <c r="H970" s="66"/>
      <c r="I970" s="66"/>
      <c r="J970" s="66"/>
      <c r="K970" s="66"/>
      <c r="L970" s="66"/>
      <c r="M970" s="66"/>
      <c r="N970" s="67"/>
      <c r="O970" s="66"/>
      <c r="P970" s="66"/>
      <c r="Q970" s="66"/>
      <c r="R970" s="66">
        <v>0</v>
      </c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  <c r="AO970" s="66"/>
      <c r="AP970" s="66"/>
      <c r="AQ970" s="66"/>
      <c r="AR970" s="68"/>
      <c r="AS970" s="66"/>
      <c r="AT970" s="66"/>
      <c r="AU970" s="66"/>
      <c r="AV970" s="69"/>
      <c r="AW970" s="69"/>
      <c r="AX970" s="69"/>
      <c r="AY970" s="69"/>
      <c r="AZ970" s="69"/>
      <c r="BA970" s="69"/>
      <c r="BB970" s="69"/>
      <c r="BC970" s="69"/>
      <c r="BD970" s="69"/>
      <c r="BE970" s="69"/>
      <c r="BF970" s="55"/>
      <c r="BG970" s="70"/>
      <c r="BH970" s="63">
        <f t="shared" si="43"/>
        <v>0</v>
      </c>
      <c r="BI970" s="63">
        <v>3</v>
      </c>
      <c r="BJ970" s="70"/>
      <c r="BK970" s="203">
        <f t="shared" si="42"/>
        <v>-3</v>
      </c>
      <c r="BL970" s="63"/>
      <c r="BM970" s="71"/>
      <c r="BN970" s="71"/>
      <c r="BO970" s="71"/>
    </row>
    <row r="971" spans="2:67" ht="18.95" customHeight="1">
      <c r="B971" s="51" t="s">
        <v>114</v>
      </c>
      <c r="C971" s="52" t="s">
        <v>1072</v>
      </c>
      <c r="D971" s="53" t="s">
        <v>114</v>
      </c>
      <c r="E971" s="115" t="s">
        <v>1093</v>
      </c>
      <c r="F971" s="66"/>
      <c r="G971" s="66"/>
      <c r="H971" s="66"/>
      <c r="I971" s="66"/>
      <c r="J971" s="66"/>
      <c r="K971" s="66"/>
      <c r="L971" s="66"/>
      <c r="M971" s="66"/>
      <c r="N971" s="67"/>
      <c r="O971" s="66"/>
      <c r="P971" s="66"/>
      <c r="Q971" s="66"/>
      <c r="R971" s="66">
        <v>0</v>
      </c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8"/>
      <c r="AS971" s="66"/>
      <c r="AT971" s="66"/>
      <c r="AU971" s="66"/>
      <c r="AV971" s="69"/>
      <c r="AW971" s="69"/>
      <c r="AX971" s="69"/>
      <c r="AY971" s="69"/>
      <c r="AZ971" s="69"/>
      <c r="BA971" s="69"/>
      <c r="BB971" s="69"/>
      <c r="BC971" s="69"/>
      <c r="BD971" s="69"/>
      <c r="BE971" s="69"/>
      <c r="BF971" s="55"/>
      <c r="BG971" s="70"/>
      <c r="BH971" s="63">
        <f t="shared" si="43"/>
        <v>0</v>
      </c>
      <c r="BI971" s="63">
        <v>4</v>
      </c>
      <c r="BJ971" s="70"/>
      <c r="BK971" s="203">
        <f t="shared" si="42"/>
        <v>-4</v>
      </c>
      <c r="BL971" s="63"/>
      <c r="BM971" s="71"/>
      <c r="BN971" s="71"/>
      <c r="BO971" s="71"/>
    </row>
    <row r="972" spans="2:67" ht="18.95" customHeight="1">
      <c r="B972" s="51" t="s">
        <v>116</v>
      </c>
      <c r="C972" s="52" t="s">
        <v>1072</v>
      </c>
      <c r="D972" s="53" t="s">
        <v>116</v>
      </c>
      <c r="E972" s="114" t="s">
        <v>1094</v>
      </c>
      <c r="F972" s="66"/>
      <c r="G972" s="66"/>
      <c r="H972" s="66"/>
      <c r="I972" s="66"/>
      <c r="J972" s="66"/>
      <c r="K972" s="66"/>
      <c r="L972" s="66"/>
      <c r="M972" s="66"/>
      <c r="N972" s="67"/>
      <c r="O972" s="66"/>
      <c r="P972" s="66"/>
      <c r="Q972" s="66"/>
      <c r="R972" s="66">
        <v>3</v>
      </c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8"/>
      <c r="AS972" s="66"/>
      <c r="AT972" s="66"/>
      <c r="AU972" s="66"/>
      <c r="AV972" s="69"/>
      <c r="AW972" s="69"/>
      <c r="AX972" s="69"/>
      <c r="AY972" s="69"/>
      <c r="AZ972" s="69"/>
      <c r="BA972" s="69"/>
      <c r="BB972" s="69"/>
      <c r="BC972" s="69"/>
      <c r="BD972" s="69"/>
      <c r="BE972" s="69"/>
      <c r="BF972" s="55"/>
      <c r="BG972" s="70"/>
      <c r="BH972" s="63">
        <f t="shared" si="43"/>
        <v>3</v>
      </c>
      <c r="BI972" s="63">
        <v>3</v>
      </c>
      <c r="BJ972" s="70"/>
      <c r="BK972" s="203">
        <f t="shared" si="42"/>
        <v>0</v>
      </c>
      <c r="BL972" s="63"/>
      <c r="BM972" s="71"/>
      <c r="BN972" s="71"/>
      <c r="BO972" s="71"/>
    </row>
    <row r="973" spans="2:67" ht="18.95" customHeight="1">
      <c r="B973" s="51" t="s">
        <v>118</v>
      </c>
      <c r="C973" s="52" t="s">
        <v>1072</v>
      </c>
      <c r="D973" s="53" t="s">
        <v>118</v>
      </c>
      <c r="E973" s="114" t="s">
        <v>1095</v>
      </c>
      <c r="F973" s="66"/>
      <c r="G973" s="66"/>
      <c r="H973" s="66"/>
      <c r="I973" s="66"/>
      <c r="J973" s="66"/>
      <c r="K973" s="66"/>
      <c r="L973" s="66"/>
      <c r="M973" s="66"/>
      <c r="N973" s="67"/>
      <c r="O973" s="66"/>
      <c r="P973" s="66"/>
      <c r="Q973" s="66"/>
      <c r="R973" s="66">
        <v>4</v>
      </c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8"/>
      <c r="AS973" s="66"/>
      <c r="AT973" s="66"/>
      <c r="AU973" s="66"/>
      <c r="AV973" s="69"/>
      <c r="AW973" s="69"/>
      <c r="AX973" s="69"/>
      <c r="AY973" s="69"/>
      <c r="AZ973" s="69"/>
      <c r="BA973" s="69"/>
      <c r="BB973" s="69"/>
      <c r="BC973" s="69"/>
      <c r="BD973" s="69"/>
      <c r="BE973" s="69"/>
      <c r="BF973" s="55"/>
      <c r="BG973" s="70"/>
      <c r="BH973" s="63">
        <f t="shared" si="43"/>
        <v>4</v>
      </c>
      <c r="BI973" s="63">
        <v>4</v>
      </c>
      <c r="BJ973" s="70"/>
      <c r="BK973" s="203">
        <f t="shared" si="42"/>
        <v>0</v>
      </c>
      <c r="BL973" s="63"/>
      <c r="BM973" s="71"/>
      <c r="BN973" s="71"/>
      <c r="BO973" s="71"/>
    </row>
    <row r="974" spans="2:67" ht="18.95" customHeight="1">
      <c r="B974" s="51" t="s">
        <v>120</v>
      </c>
      <c r="C974" s="52" t="s">
        <v>1072</v>
      </c>
      <c r="D974" s="53" t="s">
        <v>120</v>
      </c>
      <c r="E974" s="115" t="s">
        <v>1096</v>
      </c>
      <c r="F974" s="66"/>
      <c r="G974" s="66"/>
      <c r="H974" s="66"/>
      <c r="I974" s="66"/>
      <c r="J974" s="66"/>
      <c r="K974" s="66"/>
      <c r="L974" s="66"/>
      <c r="M974" s="66"/>
      <c r="N974" s="67"/>
      <c r="O974" s="66"/>
      <c r="P974" s="66"/>
      <c r="Q974" s="66"/>
      <c r="R974" s="66">
        <v>0</v>
      </c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8"/>
      <c r="AS974" s="66"/>
      <c r="AT974" s="66"/>
      <c r="AU974" s="66"/>
      <c r="AV974" s="69"/>
      <c r="AW974" s="69"/>
      <c r="AX974" s="69"/>
      <c r="AY974" s="69"/>
      <c r="AZ974" s="69"/>
      <c r="BA974" s="69"/>
      <c r="BB974" s="69"/>
      <c r="BC974" s="69"/>
      <c r="BD974" s="69"/>
      <c r="BE974" s="69"/>
      <c r="BF974" s="55"/>
      <c r="BG974" s="70">
        <v>1</v>
      </c>
      <c r="BH974" s="63">
        <f t="shared" si="43"/>
        <v>1</v>
      </c>
      <c r="BI974" s="63">
        <v>1</v>
      </c>
      <c r="BJ974" s="70"/>
      <c r="BK974" s="203">
        <f t="shared" si="42"/>
        <v>0</v>
      </c>
      <c r="BL974" s="63"/>
      <c r="BM974" s="71"/>
      <c r="BN974" s="71"/>
      <c r="BO974" s="71"/>
    </row>
    <row r="975" spans="2:67" ht="18.95" customHeight="1">
      <c r="B975" s="51" t="s">
        <v>122</v>
      </c>
      <c r="C975" s="52" t="s">
        <v>1072</v>
      </c>
      <c r="D975" s="53" t="s">
        <v>122</v>
      </c>
      <c r="E975" s="114" t="s">
        <v>1097</v>
      </c>
      <c r="F975" s="66"/>
      <c r="G975" s="66"/>
      <c r="H975" s="66"/>
      <c r="I975" s="66"/>
      <c r="J975" s="66"/>
      <c r="K975" s="66"/>
      <c r="L975" s="66"/>
      <c r="M975" s="66"/>
      <c r="N975" s="67"/>
      <c r="O975" s="66"/>
      <c r="P975" s="66"/>
      <c r="Q975" s="66"/>
      <c r="R975" s="66">
        <v>1</v>
      </c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75"/>
      <c r="AM975" s="66"/>
      <c r="AN975" s="66"/>
      <c r="AO975" s="66"/>
      <c r="AP975" s="66"/>
      <c r="AQ975" s="66"/>
      <c r="AR975" s="68"/>
      <c r="AS975" s="66"/>
      <c r="AT975" s="66"/>
      <c r="AU975" s="66"/>
      <c r="AV975" s="69"/>
      <c r="AW975" s="69"/>
      <c r="AX975" s="69"/>
      <c r="AY975" s="69"/>
      <c r="AZ975" s="69"/>
      <c r="BA975" s="69"/>
      <c r="BB975" s="69"/>
      <c r="BC975" s="69"/>
      <c r="BD975" s="69"/>
      <c r="BE975" s="69"/>
      <c r="BF975" s="55"/>
      <c r="BG975" s="70"/>
      <c r="BH975" s="63">
        <f t="shared" si="43"/>
        <v>1</v>
      </c>
      <c r="BI975" s="63">
        <v>1</v>
      </c>
      <c r="BJ975" s="70"/>
      <c r="BK975" s="203">
        <f t="shared" si="42"/>
        <v>0</v>
      </c>
      <c r="BL975" s="63"/>
      <c r="BM975" s="71"/>
      <c r="BN975" s="71"/>
      <c r="BO975" s="71"/>
    </row>
    <row r="976" spans="2:67" ht="18.75" customHeight="1">
      <c r="B976" s="51" t="s">
        <v>124</v>
      </c>
      <c r="C976" s="52" t="s">
        <v>1072</v>
      </c>
      <c r="D976" s="53" t="s">
        <v>124</v>
      </c>
      <c r="E976" s="114" t="s">
        <v>1098</v>
      </c>
      <c r="F976" s="66"/>
      <c r="G976" s="66"/>
      <c r="H976" s="66"/>
      <c r="I976" s="66"/>
      <c r="J976" s="66"/>
      <c r="K976" s="66"/>
      <c r="L976" s="66"/>
      <c r="M976" s="66"/>
      <c r="N976" s="67"/>
      <c r="O976" s="66"/>
      <c r="P976" s="66"/>
      <c r="Q976" s="66"/>
      <c r="R976" s="66">
        <v>1</v>
      </c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75"/>
      <c r="AM976" s="66"/>
      <c r="AN976" s="66"/>
      <c r="AO976" s="66"/>
      <c r="AP976" s="66"/>
      <c r="AQ976" s="66"/>
      <c r="AR976" s="68"/>
      <c r="AS976" s="66"/>
      <c r="AT976" s="66"/>
      <c r="AU976" s="66"/>
      <c r="AV976" s="69"/>
      <c r="AW976" s="69"/>
      <c r="AX976" s="69"/>
      <c r="AY976" s="69"/>
      <c r="AZ976" s="69"/>
      <c r="BA976" s="69"/>
      <c r="BB976" s="69"/>
      <c r="BC976" s="69"/>
      <c r="BD976" s="69"/>
      <c r="BE976" s="69"/>
      <c r="BF976" s="55"/>
      <c r="BG976" s="70"/>
      <c r="BH976" s="63">
        <f t="shared" si="43"/>
        <v>1</v>
      </c>
      <c r="BI976" s="63">
        <v>1</v>
      </c>
      <c r="BJ976" s="70"/>
      <c r="BK976" s="203">
        <f t="shared" si="42"/>
        <v>0</v>
      </c>
      <c r="BL976" s="63"/>
      <c r="BM976" s="71"/>
      <c r="BN976" s="71"/>
      <c r="BO976" s="71"/>
    </row>
    <row r="977" spans="2:67" ht="18.95" customHeight="1">
      <c r="B977" s="51" t="s">
        <v>126</v>
      </c>
      <c r="C977" s="52" t="s">
        <v>1072</v>
      </c>
      <c r="D977" s="53" t="s">
        <v>126</v>
      </c>
      <c r="E977" s="114" t="s">
        <v>1099</v>
      </c>
      <c r="F977" s="66"/>
      <c r="G977" s="66"/>
      <c r="H977" s="66"/>
      <c r="I977" s="66"/>
      <c r="J977" s="66"/>
      <c r="K977" s="66"/>
      <c r="L977" s="66"/>
      <c r="M977" s="66"/>
      <c r="N977" s="67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8"/>
      <c r="AS977" s="66"/>
      <c r="AT977" s="66"/>
      <c r="AU977" s="66"/>
      <c r="AV977" s="69"/>
      <c r="AW977" s="69"/>
      <c r="AX977" s="69"/>
      <c r="AY977" s="69"/>
      <c r="AZ977" s="69"/>
      <c r="BA977" s="69"/>
      <c r="BB977" s="69"/>
      <c r="BC977" s="69"/>
      <c r="BD977" s="69"/>
      <c r="BE977" s="69">
        <v>1</v>
      </c>
      <c r="BF977" s="55"/>
      <c r="BG977" s="70"/>
      <c r="BH977" s="63">
        <f t="shared" si="43"/>
        <v>1</v>
      </c>
      <c r="BI977" s="63">
        <v>1</v>
      </c>
      <c r="BJ977" s="70"/>
      <c r="BK977" s="203">
        <f t="shared" si="42"/>
        <v>0</v>
      </c>
      <c r="BL977" s="63"/>
      <c r="BM977" s="71"/>
      <c r="BN977" s="65"/>
      <c r="BO977" s="65"/>
    </row>
    <row r="978" spans="2:67" ht="18.95" customHeight="1">
      <c r="B978" s="51" t="s">
        <v>128</v>
      </c>
      <c r="C978" s="52" t="s">
        <v>1072</v>
      </c>
      <c r="D978" s="53" t="s">
        <v>128</v>
      </c>
      <c r="E978" s="115" t="s">
        <v>1100</v>
      </c>
      <c r="F978" s="55"/>
      <c r="G978" s="66"/>
      <c r="H978" s="66"/>
      <c r="I978" s="66"/>
      <c r="J978" s="66"/>
      <c r="K978" s="66"/>
      <c r="L978" s="66"/>
      <c r="M978" s="66"/>
      <c r="N978" s="67"/>
      <c r="O978" s="66"/>
      <c r="P978" s="66"/>
      <c r="Q978" s="66"/>
      <c r="R978" s="66">
        <v>2</v>
      </c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75"/>
      <c r="AM978" s="66"/>
      <c r="AN978" s="66"/>
      <c r="AO978" s="66"/>
      <c r="AP978" s="66"/>
      <c r="AQ978" s="66"/>
      <c r="AR978" s="68"/>
      <c r="AS978" s="66"/>
      <c r="AT978" s="66"/>
      <c r="AU978" s="66"/>
      <c r="AV978" s="69"/>
      <c r="AW978" s="69"/>
      <c r="AX978" s="69"/>
      <c r="AY978" s="69"/>
      <c r="AZ978" s="69"/>
      <c r="BA978" s="69"/>
      <c r="BB978" s="69"/>
      <c r="BC978" s="69"/>
      <c r="BD978" s="69"/>
      <c r="BE978" s="69"/>
      <c r="BF978" s="55"/>
      <c r="BG978" s="70"/>
      <c r="BH978" s="63">
        <f t="shared" si="43"/>
        <v>2</v>
      </c>
      <c r="BI978" s="63">
        <v>2</v>
      </c>
      <c r="BJ978" s="70"/>
      <c r="BK978" s="203">
        <f t="shared" si="42"/>
        <v>0</v>
      </c>
      <c r="BL978" s="63"/>
      <c r="BM978" s="71"/>
      <c r="BN978" s="65"/>
      <c r="BO978" s="65"/>
    </row>
    <row r="979" spans="2:67" ht="18.95" customHeight="1">
      <c r="B979" s="51" t="s">
        <v>130</v>
      </c>
      <c r="C979" s="52" t="s">
        <v>1072</v>
      </c>
      <c r="D979" s="53" t="s">
        <v>130</v>
      </c>
      <c r="E979" s="114" t="s">
        <v>1101</v>
      </c>
      <c r="F979" s="66"/>
      <c r="G979" s="66"/>
      <c r="H979" s="66"/>
      <c r="I979" s="66"/>
      <c r="J979" s="66"/>
      <c r="K979" s="66"/>
      <c r="L979" s="66"/>
      <c r="M979" s="66"/>
      <c r="N979" s="67"/>
      <c r="O979" s="66"/>
      <c r="P979" s="66"/>
      <c r="Q979" s="66"/>
      <c r="R979" s="66">
        <v>2</v>
      </c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8"/>
      <c r="AS979" s="66"/>
      <c r="AT979" s="66"/>
      <c r="AU979" s="66"/>
      <c r="AV979" s="69"/>
      <c r="AW979" s="69"/>
      <c r="AX979" s="69"/>
      <c r="AY979" s="69"/>
      <c r="AZ979" s="69"/>
      <c r="BA979" s="69"/>
      <c r="BB979" s="69"/>
      <c r="BC979" s="69"/>
      <c r="BD979" s="69"/>
      <c r="BE979" s="69"/>
      <c r="BF979" s="55"/>
      <c r="BG979" s="70"/>
      <c r="BH979" s="63">
        <f t="shared" si="43"/>
        <v>2</v>
      </c>
      <c r="BI979" s="63">
        <v>2</v>
      </c>
      <c r="BJ979" s="70"/>
      <c r="BK979" s="203">
        <f t="shared" si="42"/>
        <v>0</v>
      </c>
      <c r="BL979" s="63"/>
      <c r="BM979" s="71"/>
      <c r="BN979" s="71"/>
      <c r="BO979" s="71"/>
    </row>
    <row r="980" spans="2:67" ht="18.75" customHeight="1">
      <c r="B980" s="51" t="s">
        <v>132</v>
      </c>
      <c r="C980" s="52" t="s">
        <v>1072</v>
      </c>
      <c r="D980" s="53" t="s">
        <v>132</v>
      </c>
      <c r="E980" s="115" t="s">
        <v>1102</v>
      </c>
      <c r="F980" s="55"/>
      <c r="G980" s="55"/>
      <c r="H980" s="55"/>
      <c r="I980" s="55"/>
      <c r="J980" s="55"/>
      <c r="K980" s="55"/>
      <c r="L980" s="55"/>
      <c r="M980" s="55"/>
      <c r="N980" s="56"/>
      <c r="O980" s="55"/>
      <c r="P980" s="55"/>
      <c r="Q980" s="55"/>
      <c r="R980" s="55">
        <v>4</v>
      </c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76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70"/>
      <c r="BH980" s="63">
        <f t="shared" si="43"/>
        <v>4</v>
      </c>
      <c r="BI980" s="63">
        <v>4</v>
      </c>
      <c r="BJ980" s="70"/>
      <c r="BK980" s="203">
        <f t="shared" si="42"/>
        <v>0</v>
      </c>
      <c r="BL980" s="63"/>
      <c r="BM980" s="71"/>
      <c r="BN980" s="65"/>
      <c r="BO980" s="65"/>
    </row>
    <row r="993" spans="2:67">
      <c r="B993" s="2" t="s">
        <v>1</v>
      </c>
      <c r="C993" s="2"/>
      <c r="D993" s="2"/>
      <c r="E993" s="2"/>
      <c r="F993" s="3"/>
      <c r="G993" s="4"/>
      <c r="H993" s="4"/>
      <c r="I993" s="4"/>
      <c r="J993" s="4"/>
      <c r="K993" s="4"/>
      <c r="L993" s="4"/>
      <c r="M993" s="4"/>
      <c r="N993" s="107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5"/>
      <c r="AF993" s="5"/>
      <c r="AG993" s="5"/>
      <c r="AH993" s="5"/>
      <c r="AI993" s="5"/>
      <c r="AJ993" s="5"/>
      <c r="AK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7"/>
      <c r="BI993" s="7"/>
      <c r="BJ993" s="5"/>
      <c r="BK993" s="5"/>
      <c r="BM993" s="5"/>
      <c r="BN993" s="5"/>
      <c r="BO993" s="5"/>
    </row>
    <row r="994" spans="2:67" ht="18.75" customHeight="1">
      <c r="B994" s="2"/>
      <c r="C994" s="2"/>
      <c r="D994" s="2"/>
      <c r="E994" s="2"/>
      <c r="F994" s="1" t="s">
        <v>0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9" t="s">
        <v>1103</v>
      </c>
      <c r="BG994" s="10"/>
      <c r="BH994" s="10"/>
      <c r="BI994" s="10"/>
      <c r="BJ994" s="10"/>
      <c r="BK994" s="10"/>
      <c r="BL994" s="10"/>
      <c r="BM994" s="10"/>
      <c r="BN994" s="10"/>
      <c r="BO994" s="11"/>
    </row>
    <row r="995" spans="2:67">
      <c r="B995" s="12"/>
      <c r="C995" s="12"/>
      <c r="D995" s="12"/>
      <c r="E995" s="12"/>
      <c r="F995" s="13"/>
      <c r="G995" s="14" t="s">
        <v>1071</v>
      </c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6"/>
      <c r="AM995" s="15"/>
      <c r="AN995" s="15"/>
      <c r="AO995" s="15"/>
      <c r="AP995" s="15"/>
      <c r="AQ995" s="15"/>
      <c r="AR995" s="17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8"/>
      <c r="BM995" s="15"/>
      <c r="BN995" s="15"/>
      <c r="BO995" s="15"/>
    </row>
    <row r="996" spans="2:67" ht="15">
      <c r="B996" s="19" t="s">
        <v>4</v>
      </c>
      <c r="C996" s="20" t="s">
        <v>5</v>
      </c>
      <c r="D996" s="20"/>
      <c r="E996" s="205" t="s">
        <v>6</v>
      </c>
      <c r="F996" s="110" t="s">
        <v>135</v>
      </c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  <c r="AE996" s="111"/>
      <c r="AF996" s="111"/>
      <c r="AG996" s="111"/>
      <c r="AH996" s="111"/>
      <c r="AI996" s="111"/>
      <c r="AJ996" s="111"/>
      <c r="AK996" s="111"/>
      <c r="AL996" s="111"/>
      <c r="AM996" s="111"/>
      <c r="AN996" s="111"/>
      <c r="AO996" s="111"/>
      <c r="AP996" s="111"/>
      <c r="AQ996" s="111"/>
      <c r="AR996" s="111"/>
      <c r="AS996" s="111"/>
      <c r="AT996" s="111"/>
      <c r="AU996" s="111"/>
      <c r="AV996" s="111"/>
      <c r="AW996" s="111"/>
      <c r="AX996" s="111"/>
      <c r="AY996" s="111"/>
      <c r="AZ996" s="111"/>
      <c r="BA996" s="111"/>
      <c r="BB996" s="111"/>
      <c r="BC996" s="111"/>
      <c r="BD996" s="111"/>
      <c r="BE996" s="111"/>
      <c r="BF996" s="24" t="s">
        <v>8</v>
      </c>
      <c r="BG996" s="25"/>
      <c r="BH996" s="25"/>
      <c r="BI996" s="26"/>
      <c r="BJ996" s="31" t="s">
        <v>9</v>
      </c>
      <c r="BK996" s="32"/>
      <c r="BL996" s="29"/>
      <c r="BM996" s="30"/>
      <c r="BN996" s="31" t="s">
        <v>10</v>
      </c>
      <c r="BO996" s="32"/>
    </row>
    <row r="997" spans="2:67" ht="110.1" customHeight="1">
      <c r="B997" s="33"/>
      <c r="C997" s="34" t="s">
        <v>11</v>
      </c>
      <c r="D997" s="35" t="s">
        <v>4</v>
      </c>
      <c r="E997" s="35" t="s">
        <v>12</v>
      </c>
      <c r="F997" s="36" t="s">
        <v>13</v>
      </c>
      <c r="G997" s="36" t="s">
        <v>14</v>
      </c>
      <c r="H997" s="36" t="s">
        <v>15</v>
      </c>
      <c r="I997" s="36" t="s">
        <v>16</v>
      </c>
      <c r="J997" s="36" t="s">
        <v>17</v>
      </c>
      <c r="K997" s="36" t="s">
        <v>18</v>
      </c>
      <c r="L997" s="36" t="s">
        <v>19</v>
      </c>
      <c r="M997" s="36" t="s">
        <v>20</v>
      </c>
      <c r="N997" s="37" t="s">
        <v>21</v>
      </c>
      <c r="O997" s="36" t="s">
        <v>22</v>
      </c>
      <c r="P997" s="36" t="s">
        <v>23</v>
      </c>
      <c r="Q997" s="36" t="s">
        <v>24</v>
      </c>
      <c r="R997" s="36" t="s">
        <v>25</v>
      </c>
      <c r="S997" s="36" t="s">
        <v>26</v>
      </c>
      <c r="T997" s="36" t="s">
        <v>27</v>
      </c>
      <c r="U997" s="36" t="s">
        <v>28</v>
      </c>
      <c r="V997" s="36" t="s">
        <v>29</v>
      </c>
      <c r="W997" s="36" t="s">
        <v>30</v>
      </c>
      <c r="X997" s="38" t="s">
        <v>31</v>
      </c>
      <c r="Y997" s="36" t="s">
        <v>32</v>
      </c>
      <c r="Z997" s="36" t="s">
        <v>33</v>
      </c>
      <c r="AA997" s="36" t="s">
        <v>34</v>
      </c>
      <c r="AB997" s="38" t="s">
        <v>35</v>
      </c>
      <c r="AC997" s="36" t="s">
        <v>36</v>
      </c>
      <c r="AD997" s="39" t="s">
        <v>37</v>
      </c>
      <c r="AE997" s="36" t="s">
        <v>38</v>
      </c>
      <c r="AF997" s="40" t="s">
        <v>39</v>
      </c>
      <c r="AG997" s="40" t="s">
        <v>40</v>
      </c>
      <c r="AH997" s="40" t="s">
        <v>41</v>
      </c>
      <c r="AI997" s="40" t="s">
        <v>42</v>
      </c>
      <c r="AJ997" s="40" t="s">
        <v>43</v>
      </c>
      <c r="AK997" s="40" t="s">
        <v>44</v>
      </c>
      <c r="AL997" s="41" t="s">
        <v>45</v>
      </c>
      <c r="AM997" s="42" t="s">
        <v>46</v>
      </c>
      <c r="AN997" s="43" t="s">
        <v>47</v>
      </c>
      <c r="AO997" s="40" t="s">
        <v>48</v>
      </c>
      <c r="AP997" s="40" t="s">
        <v>49</v>
      </c>
      <c r="AQ997" s="40" t="s">
        <v>50</v>
      </c>
      <c r="AR997" s="44" t="s">
        <v>136</v>
      </c>
      <c r="AS997" s="36" t="s">
        <v>52</v>
      </c>
      <c r="AT997" s="36" t="s">
        <v>53</v>
      </c>
      <c r="AU997" s="36" t="s">
        <v>54</v>
      </c>
      <c r="AV997" s="36" t="s">
        <v>55</v>
      </c>
      <c r="AW997" s="36" t="s">
        <v>56</v>
      </c>
      <c r="AX997" s="36" t="s">
        <v>203</v>
      </c>
      <c r="AY997" s="36" t="s">
        <v>58</v>
      </c>
      <c r="AZ997" s="38" t="s">
        <v>59</v>
      </c>
      <c r="BA997" s="36" t="s">
        <v>60</v>
      </c>
      <c r="BB997" s="36" t="s">
        <v>61</v>
      </c>
      <c r="BC997" s="39" t="s">
        <v>62</v>
      </c>
      <c r="BD997" s="36" t="s">
        <v>63</v>
      </c>
      <c r="BE997" s="36" t="s">
        <v>64</v>
      </c>
      <c r="BF997" s="45" t="s">
        <v>65</v>
      </c>
      <c r="BG997" s="45" t="s">
        <v>66</v>
      </c>
      <c r="BH997" s="45" t="s">
        <v>67</v>
      </c>
      <c r="BI997" s="45" t="s">
        <v>68</v>
      </c>
      <c r="BJ997" s="46" t="s">
        <v>69</v>
      </c>
      <c r="BK997" s="46" t="s">
        <v>70</v>
      </c>
      <c r="BL997" s="47" t="s">
        <v>71</v>
      </c>
      <c r="BM997" s="48" t="s">
        <v>72</v>
      </c>
      <c r="BN997" s="49" t="s">
        <v>69</v>
      </c>
      <c r="BO997" s="50" t="s">
        <v>70</v>
      </c>
    </row>
    <row r="998" spans="2:67" ht="18.95" customHeight="1">
      <c r="B998" s="51" t="s">
        <v>138</v>
      </c>
      <c r="C998" s="52" t="s">
        <v>1072</v>
      </c>
      <c r="D998" s="53" t="s">
        <v>138</v>
      </c>
      <c r="E998" s="148" t="s">
        <v>1104</v>
      </c>
      <c r="F998" s="55"/>
      <c r="G998" s="55"/>
      <c r="H998" s="55"/>
      <c r="I998" s="55"/>
      <c r="J998" s="55"/>
      <c r="K998" s="55"/>
      <c r="L998" s="55"/>
      <c r="M998" s="55"/>
      <c r="N998" s="56"/>
      <c r="O998" s="55"/>
      <c r="P998" s="55"/>
      <c r="Q998" s="57"/>
      <c r="R998" s="55">
        <v>2</v>
      </c>
      <c r="S998" s="58"/>
      <c r="T998" s="58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7"/>
      <c r="AF998" s="57"/>
      <c r="AG998" s="57"/>
      <c r="AH998" s="57"/>
      <c r="AI998" s="57"/>
      <c r="AJ998" s="57"/>
      <c r="AK998" s="57"/>
      <c r="AL998" s="59"/>
      <c r="AM998" s="57"/>
      <c r="AN998" s="57"/>
      <c r="AO998" s="55"/>
      <c r="AP998" s="55"/>
      <c r="AQ998" s="57"/>
      <c r="AR998" s="60"/>
      <c r="AS998" s="57"/>
      <c r="AT998" s="57"/>
      <c r="AU998" s="57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55"/>
      <c r="BG998" s="62"/>
      <c r="BH998" s="63">
        <f t="shared" ref="BH998:BH1027" si="44">SUM(F998:BG998)</f>
        <v>2</v>
      </c>
      <c r="BI998" s="64">
        <v>2</v>
      </c>
      <c r="BJ998" s="62"/>
      <c r="BK998" s="203">
        <f t="shared" ref="BK998:BK1027" si="45">BH998-BI998</f>
        <v>0</v>
      </c>
      <c r="BL998" s="64"/>
      <c r="BM998" s="65"/>
      <c r="BN998" s="65"/>
      <c r="BO998" s="65"/>
    </row>
    <row r="999" spans="2:67" ht="18.75" customHeight="1">
      <c r="B999" s="51" t="s">
        <v>140</v>
      </c>
      <c r="C999" s="52" t="s">
        <v>1072</v>
      </c>
      <c r="D999" s="53" t="s">
        <v>140</v>
      </c>
      <c r="E999" s="148" t="s">
        <v>1105</v>
      </c>
      <c r="F999" s="66"/>
      <c r="G999" s="66"/>
      <c r="H999" s="66"/>
      <c r="I999" s="66"/>
      <c r="J999" s="66"/>
      <c r="K999" s="66"/>
      <c r="L999" s="66"/>
      <c r="M999" s="66"/>
      <c r="N999" s="67"/>
      <c r="O999" s="66"/>
      <c r="P999" s="66"/>
      <c r="Q999" s="66"/>
      <c r="R999" s="66">
        <v>18</v>
      </c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  <c r="AO999" s="66"/>
      <c r="AP999" s="66"/>
      <c r="AQ999" s="66"/>
      <c r="AR999" s="68"/>
      <c r="AS999" s="66"/>
      <c r="AT999" s="66"/>
      <c r="AU999" s="66"/>
      <c r="AV999" s="69"/>
      <c r="AW999" s="69"/>
      <c r="AX999" s="69"/>
      <c r="AY999" s="69"/>
      <c r="AZ999" s="69"/>
      <c r="BA999" s="69"/>
      <c r="BB999" s="69"/>
      <c r="BC999" s="69"/>
      <c r="BD999" s="69"/>
      <c r="BE999" s="69"/>
      <c r="BF999" s="55"/>
      <c r="BG999" s="70"/>
      <c r="BH999" s="63">
        <f t="shared" si="44"/>
        <v>18</v>
      </c>
      <c r="BI999" s="63">
        <v>20</v>
      </c>
      <c r="BJ999" s="70"/>
      <c r="BK999" s="203">
        <f t="shared" si="45"/>
        <v>-2</v>
      </c>
      <c r="BL999" s="63"/>
      <c r="BM999" s="71"/>
      <c r="BN999" s="71"/>
      <c r="BO999" s="72"/>
    </row>
    <row r="1000" spans="2:67" ht="18.95" customHeight="1">
      <c r="B1000" s="51" t="s">
        <v>143</v>
      </c>
      <c r="C1000" s="52" t="s">
        <v>1072</v>
      </c>
      <c r="D1000" s="53" t="s">
        <v>143</v>
      </c>
      <c r="E1000" s="148" t="s">
        <v>1106</v>
      </c>
      <c r="F1000" s="66"/>
      <c r="G1000" s="66"/>
      <c r="H1000" s="66"/>
      <c r="I1000" s="66"/>
      <c r="J1000" s="66"/>
      <c r="K1000" s="66"/>
      <c r="L1000" s="66"/>
      <c r="M1000" s="66"/>
      <c r="N1000" s="67"/>
      <c r="O1000" s="66"/>
      <c r="P1000" s="66"/>
      <c r="Q1000" s="66"/>
      <c r="R1000" s="66">
        <v>2</v>
      </c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8"/>
      <c r="AS1000" s="66"/>
      <c r="AT1000" s="66"/>
      <c r="AU1000" s="66"/>
      <c r="AV1000" s="69"/>
      <c r="AW1000" s="69"/>
      <c r="AX1000" s="69"/>
      <c r="AY1000" s="69"/>
      <c r="AZ1000" s="69"/>
      <c r="BA1000" s="69"/>
      <c r="BB1000" s="69"/>
      <c r="BC1000" s="69"/>
      <c r="BD1000" s="69"/>
      <c r="BE1000" s="69"/>
      <c r="BF1000" s="55"/>
      <c r="BG1000" s="70"/>
      <c r="BH1000" s="63">
        <f t="shared" si="44"/>
        <v>2</v>
      </c>
      <c r="BI1000" s="63">
        <v>2</v>
      </c>
      <c r="BJ1000" s="70"/>
      <c r="BK1000" s="203">
        <f t="shared" si="45"/>
        <v>0</v>
      </c>
      <c r="BL1000" s="63"/>
      <c r="BM1000" s="71"/>
      <c r="BN1000" s="72"/>
      <c r="BO1000" s="71"/>
    </row>
    <row r="1001" spans="2:67" ht="18.95" customHeight="1">
      <c r="B1001" s="51" t="s">
        <v>145</v>
      </c>
      <c r="C1001" s="52" t="s">
        <v>1072</v>
      </c>
      <c r="D1001" s="53" t="s">
        <v>145</v>
      </c>
      <c r="E1001" s="148" t="s">
        <v>1107</v>
      </c>
      <c r="F1001" s="66"/>
      <c r="G1001" s="66"/>
      <c r="H1001" s="66"/>
      <c r="I1001" s="66"/>
      <c r="J1001" s="66"/>
      <c r="K1001" s="66"/>
      <c r="L1001" s="66"/>
      <c r="M1001" s="66"/>
      <c r="N1001" s="67"/>
      <c r="O1001" s="66"/>
      <c r="P1001" s="66"/>
      <c r="Q1001" s="66"/>
      <c r="R1001" s="66">
        <v>2</v>
      </c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  <c r="AO1001" s="66"/>
      <c r="AP1001" s="66"/>
      <c r="AQ1001" s="66"/>
      <c r="AR1001" s="68"/>
      <c r="AS1001" s="66"/>
      <c r="AT1001" s="66"/>
      <c r="AU1001" s="66"/>
      <c r="AV1001" s="69"/>
      <c r="AW1001" s="69"/>
      <c r="AX1001" s="69"/>
      <c r="AY1001" s="69"/>
      <c r="AZ1001" s="69"/>
      <c r="BA1001" s="69"/>
      <c r="BB1001" s="69"/>
      <c r="BC1001" s="69"/>
      <c r="BD1001" s="69"/>
      <c r="BE1001" s="69"/>
      <c r="BF1001" s="55"/>
      <c r="BG1001" s="70"/>
      <c r="BH1001" s="63">
        <f t="shared" si="44"/>
        <v>2</v>
      </c>
      <c r="BI1001" s="63">
        <v>2</v>
      </c>
      <c r="BJ1001" s="70"/>
      <c r="BK1001" s="203">
        <f t="shared" si="45"/>
        <v>0</v>
      </c>
      <c r="BL1001" s="63"/>
      <c r="BM1001" s="71"/>
      <c r="BN1001" s="71"/>
      <c r="BO1001" s="71"/>
    </row>
    <row r="1002" spans="2:67" ht="18.75" customHeight="1">
      <c r="B1002" s="51" t="s">
        <v>147</v>
      </c>
      <c r="C1002" s="52" t="s">
        <v>1072</v>
      </c>
      <c r="D1002" s="53" t="s">
        <v>147</v>
      </c>
      <c r="E1002" s="204" t="s">
        <v>1108</v>
      </c>
      <c r="F1002" s="66"/>
      <c r="G1002" s="66"/>
      <c r="H1002" s="66"/>
      <c r="I1002" s="66"/>
      <c r="J1002" s="66"/>
      <c r="K1002" s="66"/>
      <c r="L1002" s="66"/>
      <c r="M1002" s="66"/>
      <c r="N1002" s="67"/>
      <c r="O1002" s="66"/>
      <c r="P1002" s="66"/>
      <c r="Q1002" s="66"/>
      <c r="R1002" s="66">
        <v>2</v>
      </c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8"/>
      <c r="AS1002" s="66"/>
      <c r="AT1002" s="66"/>
      <c r="AU1002" s="66"/>
      <c r="AV1002" s="69"/>
      <c r="AW1002" s="69"/>
      <c r="AX1002" s="69"/>
      <c r="AY1002" s="69"/>
      <c r="AZ1002" s="69"/>
      <c r="BA1002" s="69"/>
      <c r="BB1002" s="69"/>
      <c r="BC1002" s="69"/>
      <c r="BD1002" s="69"/>
      <c r="BE1002" s="69"/>
      <c r="BF1002" s="55"/>
      <c r="BG1002" s="70"/>
      <c r="BH1002" s="63">
        <f t="shared" si="44"/>
        <v>2</v>
      </c>
      <c r="BI1002" s="63">
        <v>2</v>
      </c>
      <c r="BJ1002" s="70"/>
      <c r="BK1002" s="203">
        <f t="shared" si="45"/>
        <v>0</v>
      </c>
      <c r="BL1002" s="63"/>
      <c r="BM1002" s="71"/>
      <c r="BN1002" s="71"/>
      <c r="BO1002" s="71"/>
    </row>
    <row r="1003" spans="2:67" ht="18.75" customHeight="1">
      <c r="B1003" s="51" t="s">
        <v>149</v>
      </c>
      <c r="C1003" s="52" t="s">
        <v>1072</v>
      </c>
      <c r="D1003" s="53" t="s">
        <v>149</v>
      </c>
      <c r="E1003" s="148" t="s">
        <v>1109</v>
      </c>
      <c r="F1003" s="66"/>
      <c r="G1003" s="66"/>
      <c r="H1003" s="66"/>
      <c r="I1003" s="66"/>
      <c r="J1003" s="66"/>
      <c r="K1003" s="66"/>
      <c r="L1003" s="66"/>
      <c r="M1003" s="66"/>
      <c r="N1003" s="67"/>
      <c r="O1003" s="66"/>
      <c r="P1003" s="66"/>
      <c r="Q1003" s="66"/>
      <c r="R1003" s="66">
        <v>1</v>
      </c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  <c r="AM1003" s="66"/>
      <c r="AN1003" s="66"/>
      <c r="AO1003" s="66"/>
      <c r="AP1003" s="66"/>
      <c r="AQ1003" s="66"/>
      <c r="AR1003" s="68"/>
      <c r="AS1003" s="66"/>
      <c r="AT1003" s="66"/>
      <c r="AU1003" s="66"/>
      <c r="AV1003" s="69"/>
      <c r="AW1003" s="69"/>
      <c r="AX1003" s="69"/>
      <c r="AY1003" s="69"/>
      <c r="AZ1003" s="69"/>
      <c r="BA1003" s="69"/>
      <c r="BB1003" s="69"/>
      <c r="BC1003" s="69"/>
      <c r="BD1003" s="69"/>
      <c r="BE1003" s="69"/>
      <c r="BF1003" s="55"/>
      <c r="BG1003" s="70"/>
      <c r="BH1003" s="63">
        <f t="shared" si="44"/>
        <v>1</v>
      </c>
      <c r="BI1003" s="63">
        <v>1</v>
      </c>
      <c r="BJ1003" s="70"/>
      <c r="BK1003" s="203">
        <f t="shared" si="45"/>
        <v>0</v>
      </c>
      <c r="BL1003" s="63"/>
      <c r="BM1003" s="71"/>
      <c r="BN1003" s="71"/>
      <c r="BO1003" s="71"/>
    </row>
    <row r="1004" spans="2:67" ht="18.75" customHeight="1">
      <c r="B1004" s="51" t="s">
        <v>151</v>
      </c>
      <c r="C1004" s="52" t="s">
        <v>1072</v>
      </c>
      <c r="D1004" s="53" t="s">
        <v>151</v>
      </c>
      <c r="E1004" s="204" t="s">
        <v>1110</v>
      </c>
      <c r="F1004" s="66"/>
      <c r="G1004" s="66"/>
      <c r="H1004" s="66"/>
      <c r="I1004" s="66"/>
      <c r="J1004" s="66"/>
      <c r="K1004" s="66"/>
      <c r="L1004" s="66"/>
      <c r="M1004" s="66"/>
      <c r="N1004" s="67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  <c r="AE1004" s="66"/>
      <c r="AF1004" s="66"/>
      <c r="AG1004" s="66"/>
      <c r="AH1004" s="66"/>
      <c r="AI1004" s="66"/>
      <c r="AJ1004" s="66"/>
      <c r="AK1004" s="66"/>
      <c r="AL1004" s="66"/>
      <c r="AM1004" s="66"/>
      <c r="AN1004" s="66"/>
      <c r="AO1004" s="66"/>
      <c r="AP1004" s="66"/>
      <c r="AQ1004" s="66"/>
      <c r="AR1004" s="68"/>
      <c r="AS1004" s="66"/>
      <c r="AT1004" s="66"/>
      <c r="AU1004" s="66"/>
      <c r="AV1004" s="69"/>
      <c r="AW1004" s="69"/>
      <c r="AX1004" s="69"/>
      <c r="AY1004" s="69"/>
      <c r="AZ1004" s="69"/>
      <c r="BA1004" s="69"/>
      <c r="BB1004" s="69"/>
      <c r="BC1004" s="69"/>
      <c r="BD1004" s="69"/>
      <c r="BE1004" s="69">
        <v>1</v>
      </c>
      <c r="BF1004" s="55"/>
      <c r="BG1004" s="70"/>
      <c r="BH1004" s="63">
        <f t="shared" si="44"/>
        <v>1</v>
      </c>
      <c r="BI1004" s="63">
        <v>1</v>
      </c>
      <c r="BJ1004" s="70"/>
      <c r="BK1004" s="203">
        <f t="shared" si="45"/>
        <v>0</v>
      </c>
      <c r="BL1004" s="63"/>
      <c r="BM1004" s="71"/>
      <c r="BN1004" s="71"/>
      <c r="BO1004" s="71"/>
    </row>
    <row r="1005" spans="2:67" ht="18.75" customHeight="1">
      <c r="B1005" s="51" t="s">
        <v>153</v>
      </c>
      <c r="C1005" s="52" t="s">
        <v>1072</v>
      </c>
      <c r="D1005" s="53" t="s">
        <v>153</v>
      </c>
      <c r="E1005" s="148" t="s">
        <v>1111</v>
      </c>
      <c r="F1005" s="66"/>
      <c r="G1005" s="66"/>
      <c r="H1005" s="66"/>
      <c r="I1005" s="66"/>
      <c r="J1005" s="66"/>
      <c r="K1005" s="66"/>
      <c r="L1005" s="66"/>
      <c r="M1005" s="66"/>
      <c r="N1005" s="67"/>
      <c r="O1005" s="66"/>
      <c r="P1005" s="66"/>
      <c r="Q1005" s="66"/>
      <c r="R1005" s="66">
        <v>2</v>
      </c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  <c r="AM1005" s="66"/>
      <c r="AN1005" s="66"/>
      <c r="AO1005" s="66"/>
      <c r="AP1005" s="66"/>
      <c r="AQ1005" s="66"/>
      <c r="AR1005" s="68"/>
      <c r="AS1005" s="66"/>
      <c r="AT1005" s="66"/>
      <c r="AU1005" s="66"/>
      <c r="AV1005" s="69"/>
      <c r="AW1005" s="69"/>
      <c r="AX1005" s="69"/>
      <c r="AY1005" s="69"/>
      <c r="AZ1005" s="69"/>
      <c r="BA1005" s="69"/>
      <c r="BB1005" s="69"/>
      <c r="BC1005" s="69"/>
      <c r="BD1005" s="69"/>
      <c r="BE1005" s="69"/>
      <c r="BF1005" s="55"/>
      <c r="BG1005" s="70"/>
      <c r="BH1005" s="63">
        <f t="shared" si="44"/>
        <v>2</v>
      </c>
      <c r="BI1005" s="63">
        <v>2</v>
      </c>
      <c r="BJ1005" s="70"/>
      <c r="BK1005" s="203">
        <f t="shared" si="45"/>
        <v>0</v>
      </c>
      <c r="BL1005" s="63"/>
      <c r="BM1005" s="71"/>
      <c r="BN1005" s="71"/>
      <c r="BO1005" s="71"/>
    </row>
    <row r="1006" spans="2:67" ht="18.75" customHeight="1">
      <c r="B1006" s="51" t="s">
        <v>155</v>
      </c>
      <c r="C1006" s="52" t="s">
        <v>1072</v>
      </c>
      <c r="D1006" s="53" t="s">
        <v>155</v>
      </c>
      <c r="E1006" s="148" t="s">
        <v>1112</v>
      </c>
      <c r="F1006" s="66"/>
      <c r="G1006" s="66"/>
      <c r="H1006" s="66"/>
      <c r="I1006" s="66"/>
      <c r="J1006" s="66"/>
      <c r="K1006" s="66"/>
      <c r="L1006" s="66"/>
      <c r="M1006" s="66"/>
      <c r="N1006" s="67"/>
      <c r="O1006" s="66"/>
      <c r="P1006" s="66"/>
      <c r="Q1006" s="66"/>
      <c r="R1006" s="66">
        <v>1</v>
      </c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66"/>
      <c r="AR1006" s="68"/>
      <c r="AS1006" s="66"/>
      <c r="AT1006" s="66"/>
      <c r="AU1006" s="66"/>
      <c r="AV1006" s="69"/>
      <c r="AW1006" s="69"/>
      <c r="AX1006" s="69"/>
      <c r="AY1006" s="69"/>
      <c r="AZ1006" s="69"/>
      <c r="BA1006" s="69"/>
      <c r="BB1006" s="69"/>
      <c r="BC1006" s="69"/>
      <c r="BD1006" s="69"/>
      <c r="BE1006" s="69"/>
      <c r="BF1006" s="55"/>
      <c r="BG1006" s="70"/>
      <c r="BH1006" s="63">
        <f t="shared" si="44"/>
        <v>1</v>
      </c>
      <c r="BI1006" s="63">
        <v>1</v>
      </c>
      <c r="BJ1006" s="70"/>
      <c r="BK1006" s="203">
        <f t="shared" si="45"/>
        <v>0</v>
      </c>
      <c r="BL1006" s="63"/>
      <c r="BM1006" s="71"/>
      <c r="BN1006" s="71"/>
      <c r="BO1006" s="71"/>
    </row>
    <row r="1007" spans="2:67" ht="18.75" customHeight="1">
      <c r="B1007" s="51" t="s">
        <v>157</v>
      </c>
      <c r="C1007" s="52" t="s">
        <v>1072</v>
      </c>
      <c r="D1007" s="53" t="s">
        <v>157</v>
      </c>
      <c r="E1007" s="148" t="s">
        <v>1113</v>
      </c>
      <c r="F1007" s="66"/>
      <c r="G1007" s="66"/>
      <c r="H1007" s="66"/>
      <c r="I1007" s="66"/>
      <c r="J1007" s="66"/>
      <c r="K1007" s="66"/>
      <c r="L1007" s="66"/>
      <c r="M1007" s="66"/>
      <c r="N1007" s="67"/>
      <c r="O1007" s="66"/>
      <c r="P1007" s="66"/>
      <c r="Q1007" s="66"/>
      <c r="R1007" s="66">
        <v>1</v>
      </c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  <c r="AE1007" s="66"/>
      <c r="AF1007" s="66"/>
      <c r="AG1007" s="66"/>
      <c r="AH1007" s="66"/>
      <c r="AI1007" s="66"/>
      <c r="AJ1007" s="66"/>
      <c r="AK1007" s="66"/>
      <c r="AL1007" s="66"/>
      <c r="AM1007" s="66"/>
      <c r="AN1007" s="66"/>
      <c r="AO1007" s="66"/>
      <c r="AP1007" s="66"/>
      <c r="AQ1007" s="66"/>
      <c r="AR1007" s="68"/>
      <c r="AS1007" s="66"/>
      <c r="AT1007" s="66"/>
      <c r="AU1007" s="66"/>
      <c r="AV1007" s="69"/>
      <c r="AW1007" s="69"/>
      <c r="AX1007" s="69"/>
      <c r="AY1007" s="69"/>
      <c r="AZ1007" s="69"/>
      <c r="BA1007" s="69"/>
      <c r="BB1007" s="69"/>
      <c r="BC1007" s="69"/>
      <c r="BD1007" s="69"/>
      <c r="BE1007" s="69"/>
      <c r="BF1007" s="55"/>
      <c r="BG1007" s="70"/>
      <c r="BH1007" s="63">
        <f t="shared" si="44"/>
        <v>1</v>
      </c>
      <c r="BI1007" s="63">
        <v>1</v>
      </c>
      <c r="BJ1007" s="70"/>
      <c r="BK1007" s="203">
        <f t="shared" si="45"/>
        <v>0</v>
      </c>
      <c r="BL1007" s="63"/>
      <c r="BM1007" s="71"/>
      <c r="BN1007" s="71"/>
      <c r="BO1007" s="71"/>
    </row>
    <row r="1008" spans="2:67" ht="18.75" customHeight="1">
      <c r="B1008" s="51" t="s">
        <v>159</v>
      </c>
      <c r="C1008" s="52" t="s">
        <v>1072</v>
      </c>
      <c r="D1008" s="53" t="s">
        <v>159</v>
      </c>
      <c r="E1008" s="148" t="s">
        <v>1114</v>
      </c>
      <c r="F1008" s="66"/>
      <c r="G1008" s="66"/>
      <c r="H1008" s="66"/>
      <c r="I1008" s="66"/>
      <c r="J1008" s="66"/>
      <c r="K1008" s="66"/>
      <c r="L1008" s="66"/>
      <c r="M1008" s="66"/>
      <c r="N1008" s="67"/>
      <c r="O1008" s="66"/>
      <c r="P1008" s="66"/>
      <c r="Q1008" s="66"/>
      <c r="R1008" s="66">
        <v>4</v>
      </c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  <c r="AD1008" s="66"/>
      <c r="AE1008" s="66"/>
      <c r="AF1008" s="66"/>
      <c r="AG1008" s="66"/>
      <c r="AH1008" s="66"/>
      <c r="AI1008" s="66"/>
      <c r="AJ1008" s="66"/>
      <c r="AK1008" s="66"/>
      <c r="AL1008" s="66"/>
      <c r="AM1008" s="66"/>
      <c r="AN1008" s="66"/>
      <c r="AO1008" s="66"/>
      <c r="AP1008" s="66"/>
      <c r="AQ1008" s="66"/>
      <c r="AR1008" s="68"/>
      <c r="AS1008" s="66"/>
      <c r="AT1008" s="66"/>
      <c r="AU1008" s="66"/>
      <c r="AV1008" s="69"/>
      <c r="AW1008" s="69"/>
      <c r="AX1008" s="69"/>
      <c r="AY1008" s="69"/>
      <c r="AZ1008" s="69"/>
      <c r="BA1008" s="69"/>
      <c r="BB1008" s="69"/>
      <c r="BC1008" s="69"/>
      <c r="BD1008" s="69"/>
      <c r="BE1008" s="69"/>
      <c r="BF1008" s="55"/>
      <c r="BG1008" s="70"/>
      <c r="BH1008" s="63">
        <f t="shared" si="44"/>
        <v>4</v>
      </c>
      <c r="BI1008" s="63">
        <v>8</v>
      </c>
      <c r="BJ1008" s="70"/>
      <c r="BK1008" s="203">
        <f t="shared" si="45"/>
        <v>-4</v>
      </c>
      <c r="BL1008" s="63"/>
      <c r="BM1008" s="71"/>
      <c r="BN1008" s="71"/>
      <c r="BO1008" s="71"/>
    </row>
    <row r="1009" spans="2:67" ht="18.75" customHeight="1">
      <c r="B1009" s="51" t="s">
        <v>161</v>
      </c>
      <c r="C1009" s="52" t="s">
        <v>1072</v>
      </c>
      <c r="D1009" s="53" t="s">
        <v>161</v>
      </c>
      <c r="E1009" s="148" t="s">
        <v>1115</v>
      </c>
      <c r="F1009" s="66"/>
      <c r="G1009" s="66"/>
      <c r="H1009" s="66"/>
      <c r="I1009" s="66"/>
      <c r="J1009" s="66"/>
      <c r="K1009" s="66"/>
      <c r="L1009" s="66"/>
      <c r="M1009" s="66"/>
      <c r="N1009" s="67"/>
      <c r="O1009" s="66"/>
      <c r="P1009" s="66"/>
      <c r="Q1009" s="66"/>
      <c r="R1009" s="66">
        <v>1</v>
      </c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  <c r="AM1009" s="66"/>
      <c r="AN1009" s="66"/>
      <c r="AO1009" s="66"/>
      <c r="AP1009" s="66"/>
      <c r="AQ1009" s="66"/>
      <c r="AR1009" s="68"/>
      <c r="AS1009" s="66"/>
      <c r="AT1009" s="66"/>
      <c r="AU1009" s="66"/>
      <c r="AV1009" s="69"/>
      <c r="AW1009" s="69"/>
      <c r="AX1009" s="69"/>
      <c r="AY1009" s="69"/>
      <c r="AZ1009" s="69"/>
      <c r="BA1009" s="69"/>
      <c r="BB1009" s="69"/>
      <c r="BC1009" s="69"/>
      <c r="BD1009" s="69"/>
      <c r="BE1009" s="69"/>
      <c r="BF1009" s="55"/>
      <c r="BG1009" s="70"/>
      <c r="BH1009" s="63">
        <f t="shared" si="44"/>
        <v>1</v>
      </c>
      <c r="BI1009" s="63">
        <v>1</v>
      </c>
      <c r="BJ1009" s="70"/>
      <c r="BK1009" s="203">
        <f t="shared" si="45"/>
        <v>0</v>
      </c>
      <c r="BL1009" s="63"/>
      <c r="BM1009" s="71"/>
      <c r="BN1009" s="71"/>
      <c r="BO1009" s="71"/>
    </row>
    <row r="1010" spans="2:67" ht="18.95" customHeight="1">
      <c r="B1010" s="51" t="s">
        <v>163</v>
      </c>
      <c r="C1010" s="52" t="s">
        <v>1072</v>
      </c>
      <c r="D1010" s="53" t="s">
        <v>163</v>
      </c>
      <c r="E1010" s="148" t="s">
        <v>1116</v>
      </c>
      <c r="F1010" s="66"/>
      <c r="G1010" s="66"/>
      <c r="H1010" s="66"/>
      <c r="I1010" s="66"/>
      <c r="J1010" s="66"/>
      <c r="K1010" s="66"/>
      <c r="L1010" s="66"/>
      <c r="M1010" s="66"/>
      <c r="N1010" s="67"/>
      <c r="O1010" s="66"/>
      <c r="P1010" s="66"/>
      <c r="Q1010" s="66"/>
      <c r="R1010" s="66">
        <v>3</v>
      </c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  <c r="AM1010" s="66"/>
      <c r="AN1010" s="66"/>
      <c r="AO1010" s="66"/>
      <c r="AP1010" s="66"/>
      <c r="AQ1010" s="66"/>
      <c r="AR1010" s="68"/>
      <c r="AS1010" s="66"/>
      <c r="AT1010" s="66"/>
      <c r="AU1010" s="66"/>
      <c r="AV1010" s="69"/>
      <c r="AW1010" s="69"/>
      <c r="AX1010" s="69"/>
      <c r="AY1010" s="69"/>
      <c r="AZ1010" s="69"/>
      <c r="BA1010" s="69"/>
      <c r="BB1010" s="69"/>
      <c r="BC1010" s="69"/>
      <c r="BD1010" s="69"/>
      <c r="BE1010" s="69"/>
      <c r="BF1010" s="55"/>
      <c r="BG1010" s="70"/>
      <c r="BH1010" s="63">
        <f t="shared" si="44"/>
        <v>3</v>
      </c>
      <c r="BI1010" s="63">
        <v>3</v>
      </c>
      <c r="BJ1010" s="70"/>
      <c r="BK1010" s="203">
        <f t="shared" si="45"/>
        <v>0</v>
      </c>
      <c r="BL1010" s="63"/>
      <c r="BM1010" s="71"/>
      <c r="BN1010" s="71"/>
      <c r="BO1010" s="71"/>
    </row>
    <row r="1011" spans="2:67" ht="18.95" customHeight="1">
      <c r="B1011" s="51" t="s">
        <v>165</v>
      </c>
      <c r="C1011" s="52" t="s">
        <v>1072</v>
      </c>
      <c r="D1011" s="53" t="s">
        <v>165</v>
      </c>
      <c r="E1011" s="148" t="s">
        <v>1117</v>
      </c>
      <c r="F1011" s="66"/>
      <c r="G1011" s="66"/>
      <c r="H1011" s="66"/>
      <c r="I1011" s="66"/>
      <c r="J1011" s="66"/>
      <c r="K1011" s="66"/>
      <c r="L1011" s="66"/>
      <c r="M1011" s="66"/>
      <c r="N1011" s="67"/>
      <c r="O1011" s="66"/>
      <c r="P1011" s="66"/>
      <c r="Q1011" s="66"/>
      <c r="R1011" s="66">
        <v>2</v>
      </c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  <c r="AD1011" s="66"/>
      <c r="AE1011" s="66"/>
      <c r="AF1011" s="66"/>
      <c r="AG1011" s="66"/>
      <c r="AH1011" s="66"/>
      <c r="AI1011" s="66"/>
      <c r="AJ1011" s="66"/>
      <c r="AK1011" s="66"/>
      <c r="AL1011" s="66"/>
      <c r="AM1011" s="66"/>
      <c r="AN1011" s="66"/>
      <c r="AO1011" s="66"/>
      <c r="AP1011" s="66"/>
      <c r="AQ1011" s="66"/>
      <c r="AR1011" s="68"/>
      <c r="AS1011" s="66"/>
      <c r="AT1011" s="66"/>
      <c r="AU1011" s="66"/>
      <c r="AV1011" s="69"/>
      <c r="AW1011" s="69"/>
      <c r="AX1011" s="69"/>
      <c r="AY1011" s="69"/>
      <c r="AZ1011" s="69"/>
      <c r="BA1011" s="69"/>
      <c r="BB1011" s="69"/>
      <c r="BC1011" s="69"/>
      <c r="BD1011" s="69"/>
      <c r="BE1011" s="69"/>
      <c r="BF1011" s="55"/>
      <c r="BG1011" s="70"/>
      <c r="BH1011" s="63">
        <f t="shared" si="44"/>
        <v>2</v>
      </c>
      <c r="BI1011" s="63">
        <v>2</v>
      </c>
      <c r="BJ1011" s="70"/>
      <c r="BK1011" s="203">
        <f t="shared" si="45"/>
        <v>0</v>
      </c>
      <c r="BL1011" s="63"/>
      <c r="BM1011" s="71"/>
      <c r="BN1011" s="71"/>
      <c r="BO1011" s="71"/>
    </row>
    <row r="1012" spans="2:67" ht="18.95" customHeight="1">
      <c r="B1012" s="51" t="s">
        <v>167</v>
      </c>
      <c r="C1012" s="52" t="s">
        <v>1072</v>
      </c>
      <c r="D1012" s="53" t="s">
        <v>167</v>
      </c>
      <c r="E1012" s="148" t="s">
        <v>1118</v>
      </c>
      <c r="F1012" s="66"/>
      <c r="G1012" s="66"/>
      <c r="H1012" s="66"/>
      <c r="I1012" s="66"/>
      <c r="J1012" s="66"/>
      <c r="K1012" s="66"/>
      <c r="L1012" s="66"/>
      <c r="M1012" s="66"/>
      <c r="N1012" s="67"/>
      <c r="O1012" s="66"/>
      <c r="P1012" s="66"/>
      <c r="Q1012" s="66"/>
      <c r="R1012" s="66">
        <v>1</v>
      </c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  <c r="AD1012" s="66"/>
      <c r="AE1012" s="66"/>
      <c r="AF1012" s="66"/>
      <c r="AG1012" s="66"/>
      <c r="AH1012" s="66"/>
      <c r="AI1012" s="66"/>
      <c r="AJ1012" s="66"/>
      <c r="AK1012" s="66"/>
      <c r="AL1012" s="66"/>
      <c r="AM1012" s="66"/>
      <c r="AN1012" s="66"/>
      <c r="AO1012" s="66"/>
      <c r="AP1012" s="66"/>
      <c r="AQ1012" s="66"/>
      <c r="AR1012" s="68"/>
      <c r="AS1012" s="66"/>
      <c r="AT1012" s="66"/>
      <c r="AU1012" s="66"/>
      <c r="AV1012" s="69"/>
      <c r="AW1012" s="69"/>
      <c r="AX1012" s="69"/>
      <c r="AY1012" s="69"/>
      <c r="AZ1012" s="69"/>
      <c r="BA1012" s="69"/>
      <c r="BB1012" s="69"/>
      <c r="BC1012" s="69"/>
      <c r="BD1012" s="69"/>
      <c r="BE1012" s="69"/>
      <c r="BF1012" s="55"/>
      <c r="BG1012" s="70"/>
      <c r="BH1012" s="63">
        <f t="shared" si="44"/>
        <v>1</v>
      </c>
      <c r="BI1012" s="63">
        <v>1</v>
      </c>
      <c r="BJ1012" s="70"/>
      <c r="BK1012" s="203">
        <f t="shared" si="45"/>
        <v>0</v>
      </c>
      <c r="BL1012" s="63"/>
      <c r="BM1012" s="71"/>
      <c r="BN1012" s="71"/>
      <c r="BO1012" s="71"/>
    </row>
    <row r="1013" spans="2:67" ht="18.95" customHeight="1">
      <c r="B1013" s="51" t="s">
        <v>169</v>
      </c>
      <c r="C1013" s="52" t="s">
        <v>1072</v>
      </c>
      <c r="D1013" s="53" t="s">
        <v>169</v>
      </c>
      <c r="E1013" s="148" t="s">
        <v>1119</v>
      </c>
      <c r="F1013" s="66"/>
      <c r="G1013" s="66"/>
      <c r="H1013" s="66"/>
      <c r="I1013" s="66"/>
      <c r="J1013" s="66"/>
      <c r="K1013" s="66"/>
      <c r="L1013" s="66"/>
      <c r="M1013" s="66"/>
      <c r="N1013" s="67"/>
      <c r="O1013" s="66"/>
      <c r="P1013" s="66"/>
      <c r="Q1013" s="66"/>
      <c r="R1013" s="66">
        <v>1</v>
      </c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  <c r="AE1013" s="66"/>
      <c r="AF1013" s="66"/>
      <c r="AG1013" s="66"/>
      <c r="AH1013" s="66"/>
      <c r="AI1013" s="66"/>
      <c r="AJ1013" s="66"/>
      <c r="AK1013" s="66"/>
      <c r="AL1013" s="66"/>
      <c r="AM1013" s="66"/>
      <c r="AN1013" s="66"/>
      <c r="AO1013" s="66"/>
      <c r="AP1013" s="66"/>
      <c r="AQ1013" s="66"/>
      <c r="AR1013" s="68"/>
      <c r="AS1013" s="66"/>
      <c r="AT1013" s="66"/>
      <c r="AU1013" s="66"/>
      <c r="AV1013" s="69"/>
      <c r="AW1013" s="69"/>
      <c r="AX1013" s="69"/>
      <c r="AY1013" s="69"/>
      <c r="AZ1013" s="69"/>
      <c r="BA1013" s="69"/>
      <c r="BB1013" s="69"/>
      <c r="BC1013" s="69"/>
      <c r="BD1013" s="69"/>
      <c r="BE1013" s="69"/>
      <c r="BF1013" s="55"/>
      <c r="BG1013" s="70"/>
      <c r="BH1013" s="63">
        <f t="shared" si="44"/>
        <v>1</v>
      </c>
      <c r="BI1013" s="63">
        <v>1</v>
      </c>
      <c r="BJ1013" s="70"/>
      <c r="BK1013" s="203">
        <f t="shared" si="45"/>
        <v>0</v>
      </c>
      <c r="BL1013" s="63"/>
      <c r="BM1013" s="71"/>
      <c r="BN1013" s="71"/>
      <c r="BO1013" s="71"/>
    </row>
    <row r="1014" spans="2:67" ht="18.75" customHeight="1">
      <c r="B1014" s="51" t="s">
        <v>171</v>
      </c>
      <c r="C1014" s="52" t="s">
        <v>1072</v>
      </c>
      <c r="D1014" s="53" t="s">
        <v>171</v>
      </c>
      <c r="E1014" s="204" t="s">
        <v>1120</v>
      </c>
      <c r="F1014" s="66"/>
      <c r="G1014" s="66"/>
      <c r="H1014" s="66"/>
      <c r="I1014" s="66"/>
      <c r="J1014" s="66"/>
      <c r="K1014" s="66"/>
      <c r="L1014" s="66"/>
      <c r="M1014" s="66"/>
      <c r="N1014" s="67"/>
      <c r="O1014" s="66"/>
      <c r="P1014" s="66"/>
      <c r="Q1014" s="66"/>
      <c r="R1014" s="66">
        <v>0</v>
      </c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8"/>
      <c r="AS1014" s="66"/>
      <c r="AT1014" s="66"/>
      <c r="AU1014" s="66"/>
      <c r="AV1014" s="69"/>
      <c r="AW1014" s="69"/>
      <c r="AX1014" s="69"/>
      <c r="AY1014" s="69"/>
      <c r="AZ1014" s="69"/>
      <c r="BA1014" s="69"/>
      <c r="BB1014" s="69"/>
      <c r="BC1014" s="69"/>
      <c r="BD1014" s="69"/>
      <c r="BE1014" s="69"/>
      <c r="BF1014" s="55"/>
      <c r="BG1014" s="70"/>
      <c r="BH1014" s="63">
        <f t="shared" si="44"/>
        <v>0</v>
      </c>
      <c r="BI1014" s="63">
        <v>3</v>
      </c>
      <c r="BJ1014" s="70"/>
      <c r="BK1014" s="203">
        <f t="shared" si="45"/>
        <v>-3</v>
      </c>
      <c r="BL1014" s="63"/>
      <c r="BM1014" s="71"/>
      <c r="BN1014" s="71"/>
      <c r="BO1014" s="71"/>
    </row>
    <row r="1015" spans="2:67" ht="18.95" customHeight="1">
      <c r="B1015" s="51" t="s">
        <v>174</v>
      </c>
      <c r="C1015" s="52" t="s">
        <v>1072</v>
      </c>
      <c r="D1015" s="53" t="s">
        <v>174</v>
      </c>
      <c r="E1015" s="204" t="s">
        <v>1121</v>
      </c>
      <c r="F1015" s="66"/>
      <c r="G1015" s="66"/>
      <c r="H1015" s="66"/>
      <c r="I1015" s="66"/>
      <c r="J1015" s="66"/>
      <c r="K1015" s="66"/>
      <c r="L1015" s="66"/>
      <c r="M1015" s="66"/>
      <c r="N1015" s="67"/>
      <c r="O1015" s="66"/>
      <c r="P1015" s="66"/>
      <c r="Q1015" s="66"/>
      <c r="R1015" s="66">
        <v>1</v>
      </c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  <c r="AD1015" s="66"/>
      <c r="AE1015" s="66"/>
      <c r="AF1015" s="66"/>
      <c r="AG1015" s="66"/>
      <c r="AH1015" s="66"/>
      <c r="AI1015" s="66"/>
      <c r="AJ1015" s="66"/>
      <c r="AK1015" s="66"/>
      <c r="AL1015" s="66"/>
      <c r="AM1015" s="66"/>
      <c r="AN1015" s="66"/>
      <c r="AO1015" s="66"/>
      <c r="AP1015" s="66"/>
      <c r="AQ1015" s="66"/>
      <c r="AR1015" s="68"/>
      <c r="AS1015" s="66"/>
      <c r="AT1015" s="66"/>
      <c r="AU1015" s="66"/>
      <c r="AV1015" s="69"/>
      <c r="AW1015" s="69"/>
      <c r="AX1015" s="69"/>
      <c r="AY1015" s="69"/>
      <c r="AZ1015" s="69"/>
      <c r="BA1015" s="69"/>
      <c r="BB1015" s="69"/>
      <c r="BC1015" s="69"/>
      <c r="BD1015" s="69"/>
      <c r="BE1015" s="69"/>
      <c r="BF1015" s="55"/>
      <c r="BG1015" s="70"/>
      <c r="BH1015" s="63">
        <f t="shared" si="44"/>
        <v>1</v>
      </c>
      <c r="BI1015" s="63">
        <v>1</v>
      </c>
      <c r="BJ1015" s="70"/>
      <c r="BK1015" s="203">
        <f t="shared" si="45"/>
        <v>0</v>
      </c>
      <c r="BL1015" s="63"/>
      <c r="BM1015" s="71"/>
      <c r="BN1015" s="71"/>
      <c r="BO1015" s="71"/>
    </row>
    <row r="1016" spans="2:67" ht="18.95" customHeight="1">
      <c r="B1016" s="51" t="s">
        <v>176</v>
      </c>
      <c r="C1016" s="52" t="s">
        <v>1072</v>
      </c>
      <c r="D1016" s="53" t="s">
        <v>176</v>
      </c>
      <c r="E1016" s="204" t="s">
        <v>1122</v>
      </c>
      <c r="F1016" s="66"/>
      <c r="G1016" s="66"/>
      <c r="H1016" s="66"/>
      <c r="I1016" s="66"/>
      <c r="J1016" s="66"/>
      <c r="K1016" s="66"/>
      <c r="L1016" s="66"/>
      <c r="M1016" s="66"/>
      <c r="N1016" s="67"/>
      <c r="O1016" s="66"/>
      <c r="P1016" s="66"/>
      <c r="Q1016" s="66"/>
      <c r="R1016" s="66">
        <v>0</v>
      </c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  <c r="AD1016" s="66"/>
      <c r="AE1016" s="66"/>
      <c r="AF1016" s="66"/>
      <c r="AG1016" s="66"/>
      <c r="AH1016" s="66"/>
      <c r="AI1016" s="66"/>
      <c r="AJ1016" s="66"/>
      <c r="AK1016" s="66"/>
      <c r="AL1016" s="66"/>
      <c r="AM1016" s="66"/>
      <c r="AN1016" s="66"/>
      <c r="AO1016" s="66"/>
      <c r="AP1016" s="66"/>
      <c r="AQ1016" s="66"/>
      <c r="AR1016" s="68"/>
      <c r="AS1016" s="66"/>
      <c r="AT1016" s="66"/>
      <c r="AU1016" s="66"/>
      <c r="AV1016" s="69"/>
      <c r="AW1016" s="69"/>
      <c r="AX1016" s="69"/>
      <c r="AY1016" s="69"/>
      <c r="AZ1016" s="69"/>
      <c r="BA1016" s="69"/>
      <c r="BB1016" s="69"/>
      <c r="BC1016" s="69"/>
      <c r="BD1016" s="69"/>
      <c r="BE1016" s="69"/>
      <c r="BF1016" s="55"/>
      <c r="BG1016" s="70"/>
      <c r="BH1016" s="63">
        <f t="shared" si="44"/>
        <v>0</v>
      </c>
      <c r="BI1016" s="63">
        <v>3</v>
      </c>
      <c r="BJ1016" s="70"/>
      <c r="BK1016" s="203">
        <f t="shared" si="45"/>
        <v>-3</v>
      </c>
      <c r="BL1016" s="63"/>
      <c r="BM1016" s="71"/>
      <c r="BN1016" s="71"/>
      <c r="BO1016" s="71"/>
    </row>
    <row r="1017" spans="2:67" ht="18.75" customHeight="1">
      <c r="B1017" s="51" t="s">
        <v>178</v>
      </c>
      <c r="C1017" s="52" t="s">
        <v>1072</v>
      </c>
      <c r="D1017" s="53" t="s">
        <v>178</v>
      </c>
      <c r="E1017" s="148" t="s">
        <v>1123</v>
      </c>
      <c r="F1017" s="66"/>
      <c r="G1017" s="66"/>
      <c r="H1017" s="66"/>
      <c r="I1017" s="66"/>
      <c r="J1017" s="66"/>
      <c r="K1017" s="66"/>
      <c r="L1017" s="66"/>
      <c r="M1017" s="66"/>
      <c r="N1017" s="67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8"/>
      <c r="AS1017" s="66"/>
      <c r="AT1017" s="66"/>
      <c r="AU1017" s="66"/>
      <c r="AV1017" s="69"/>
      <c r="AW1017" s="69"/>
      <c r="AX1017" s="69"/>
      <c r="AY1017" s="69"/>
      <c r="AZ1017" s="69"/>
      <c r="BA1017" s="69"/>
      <c r="BB1017" s="69"/>
      <c r="BC1017" s="69"/>
      <c r="BD1017" s="69"/>
      <c r="BE1017" s="69">
        <v>1</v>
      </c>
      <c r="BF1017" s="55"/>
      <c r="BG1017" s="70"/>
      <c r="BH1017" s="63">
        <f t="shared" si="44"/>
        <v>1</v>
      </c>
      <c r="BI1017" s="63">
        <v>1</v>
      </c>
      <c r="BJ1017" s="70"/>
      <c r="BK1017" s="203">
        <f t="shared" si="45"/>
        <v>0</v>
      </c>
      <c r="BL1017" s="63"/>
      <c r="BM1017" s="71"/>
      <c r="BN1017" s="71"/>
      <c r="BO1017" s="71"/>
    </row>
    <row r="1018" spans="2:67" ht="18.95" customHeight="1">
      <c r="B1018" s="51" t="s">
        <v>180</v>
      </c>
      <c r="C1018" s="52" t="s">
        <v>1072</v>
      </c>
      <c r="D1018" s="53" t="s">
        <v>180</v>
      </c>
      <c r="E1018" s="148" t="s">
        <v>1124</v>
      </c>
      <c r="F1018" s="66"/>
      <c r="G1018" s="66"/>
      <c r="H1018" s="66"/>
      <c r="I1018" s="66"/>
      <c r="J1018" s="66"/>
      <c r="K1018" s="66"/>
      <c r="L1018" s="66"/>
      <c r="M1018" s="66"/>
      <c r="N1018" s="67"/>
      <c r="O1018" s="66"/>
      <c r="P1018" s="66"/>
      <c r="Q1018" s="66"/>
      <c r="R1018" s="66">
        <v>170</v>
      </c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8"/>
      <c r="AS1018" s="66"/>
      <c r="AT1018" s="66"/>
      <c r="AU1018" s="66"/>
      <c r="AV1018" s="69"/>
      <c r="AW1018" s="69"/>
      <c r="AX1018" s="69"/>
      <c r="AY1018" s="69"/>
      <c r="AZ1018" s="69"/>
      <c r="BA1018" s="69"/>
      <c r="BB1018" s="69"/>
      <c r="BC1018" s="69"/>
      <c r="BD1018" s="69"/>
      <c r="BE1018" s="69"/>
      <c r="BF1018" s="55"/>
      <c r="BG1018" s="70"/>
      <c r="BH1018" s="63">
        <f t="shared" si="44"/>
        <v>170</v>
      </c>
      <c r="BI1018" s="63">
        <v>230</v>
      </c>
      <c r="BJ1018" s="70"/>
      <c r="BK1018" s="203">
        <f t="shared" si="45"/>
        <v>-60</v>
      </c>
      <c r="BL1018" s="63"/>
      <c r="BM1018" s="71"/>
      <c r="BN1018" s="71"/>
      <c r="BO1018" s="71"/>
    </row>
    <row r="1019" spans="2:67" ht="18.75" customHeight="1">
      <c r="B1019" s="51" t="s">
        <v>183</v>
      </c>
      <c r="C1019" s="52" t="s">
        <v>1072</v>
      </c>
      <c r="D1019" s="53" t="s">
        <v>183</v>
      </c>
      <c r="E1019" s="148" t="s">
        <v>1125</v>
      </c>
      <c r="F1019" s="66"/>
      <c r="G1019" s="66"/>
      <c r="H1019" s="66"/>
      <c r="I1019" s="66"/>
      <c r="J1019" s="66"/>
      <c r="K1019" s="66"/>
      <c r="L1019" s="66"/>
      <c r="M1019" s="66"/>
      <c r="N1019" s="67"/>
      <c r="O1019" s="66"/>
      <c r="P1019" s="66"/>
      <c r="Q1019" s="66"/>
      <c r="R1019" s="66">
        <v>15</v>
      </c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66"/>
      <c r="AR1019" s="68"/>
      <c r="AS1019" s="66"/>
      <c r="AT1019" s="66"/>
      <c r="AU1019" s="66"/>
      <c r="AV1019" s="69"/>
      <c r="AW1019" s="69"/>
      <c r="AX1019" s="69"/>
      <c r="AY1019" s="69"/>
      <c r="AZ1019" s="69"/>
      <c r="BA1019" s="69"/>
      <c r="BB1019" s="69"/>
      <c r="BC1019" s="69"/>
      <c r="BD1019" s="69"/>
      <c r="BE1019" s="69"/>
      <c r="BF1019" s="55"/>
      <c r="BG1019" s="70"/>
      <c r="BH1019" s="63">
        <f t="shared" si="44"/>
        <v>15</v>
      </c>
      <c r="BI1019" s="63">
        <v>30</v>
      </c>
      <c r="BJ1019" s="70"/>
      <c r="BK1019" s="203">
        <f t="shared" si="45"/>
        <v>-15</v>
      </c>
      <c r="BL1019" s="63"/>
      <c r="BM1019" s="71"/>
      <c r="BN1019" s="71"/>
      <c r="BO1019" s="71"/>
    </row>
    <row r="1020" spans="2:67" ht="18.95" customHeight="1">
      <c r="B1020" s="51" t="s">
        <v>185</v>
      </c>
      <c r="C1020" s="52" t="s">
        <v>1072</v>
      </c>
      <c r="D1020" s="53" t="s">
        <v>185</v>
      </c>
      <c r="E1020" s="148" t="s">
        <v>1126</v>
      </c>
      <c r="F1020" s="66"/>
      <c r="G1020" s="66"/>
      <c r="H1020" s="66"/>
      <c r="I1020" s="66"/>
      <c r="J1020" s="66"/>
      <c r="K1020" s="66"/>
      <c r="L1020" s="66"/>
      <c r="M1020" s="66"/>
      <c r="N1020" s="67"/>
      <c r="O1020" s="66"/>
      <c r="P1020" s="66"/>
      <c r="Q1020" s="66"/>
      <c r="R1020" s="66">
        <v>5</v>
      </c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  <c r="AE1020" s="66"/>
      <c r="AF1020" s="66"/>
      <c r="AG1020" s="66"/>
      <c r="AH1020" s="66"/>
      <c r="AI1020" s="66"/>
      <c r="AJ1020" s="66"/>
      <c r="AK1020" s="66"/>
      <c r="AL1020" s="66"/>
      <c r="AM1020" s="66"/>
      <c r="AN1020" s="66"/>
      <c r="AO1020" s="66"/>
      <c r="AP1020" s="66"/>
      <c r="AQ1020" s="66"/>
      <c r="AR1020" s="68"/>
      <c r="AS1020" s="66"/>
      <c r="AT1020" s="66"/>
      <c r="AU1020" s="66"/>
      <c r="AV1020" s="69"/>
      <c r="AW1020" s="69"/>
      <c r="AX1020" s="69"/>
      <c r="AY1020" s="69"/>
      <c r="AZ1020" s="69"/>
      <c r="BA1020" s="69"/>
      <c r="BB1020" s="69"/>
      <c r="BC1020" s="69"/>
      <c r="BD1020" s="69"/>
      <c r="BE1020" s="69"/>
      <c r="BF1020" s="55"/>
      <c r="BG1020" s="70"/>
      <c r="BH1020" s="63">
        <f t="shared" si="44"/>
        <v>5</v>
      </c>
      <c r="BI1020" s="63">
        <v>30</v>
      </c>
      <c r="BJ1020" s="70"/>
      <c r="BK1020" s="203">
        <f t="shared" si="45"/>
        <v>-25</v>
      </c>
      <c r="BL1020" s="63"/>
      <c r="BM1020" s="71"/>
      <c r="BN1020" s="71"/>
      <c r="BO1020" s="71"/>
    </row>
    <row r="1021" spans="2:67" ht="18.95" customHeight="1">
      <c r="B1021" s="51" t="s">
        <v>187</v>
      </c>
      <c r="C1021" s="52" t="s">
        <v>1072</v>
      </c>
      <c r="D1021" s="53" t="s">
        <v>187</v>
      </c>
      <c r="E1021" s="148" t="s">
        <v>1127</v>
      </c>
      <c r="F1021" s="66"/>
      <c r="G1021" s="66"/>
      <c r="H1021" s="66"/>
      <c r="I1021" s="66"/>
      <c r="J1021" s="66"/>
      <c r="K1021" s="66"/>
      <c r="L1021" s="66"/>
      <c r="M1021" s="66"/>
      <c r="N1021" s="67"/>
      <c r="O1021" s="66"/>
      <c r="P1021" s="66"/>
      <c r="Q1021" s="66"/>
      <c r="R1021" s="66">
        <v>5</v>
      </c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  <c r="AD1021" s="66"/>
      <c r="AE1021" s="66"/>
      <c r="AF1021" s="66"/>
      <c r="AG1021" s="66"/>
      <c r="AH1021" s="66"/>
      <c r="AI1021" s="66"/>
      <c r="AJ1021" s="66"/>
      <c r="AK1021" s="66"/>
      <c r="AL1021" s="66"/>
      <c r="AM1021" s="66"/>
      <c r="AN1021" s="66"/>
      <c r="AO1021" s="66"/>
      <c r="AP1021" s="66"/>
      <c r="AQ1021" s="66"/>
      <c r="AR1021" s="68"/>
      <c r="AS1021" s="66"/>
      <c r="AT1021" s="66"/>
      <c r="AU1021" s="66"/>
      <c r="AV1021" s="69"/>
      <c r="AW1021" s="69"/>
      <c r="AX1021" s="69"/>
      <c r="AY1021" s="69"/>
      <c r="AZ1021" s="69"/>
      <c r="BA1021" s="69"/>
      <c r="BB1021" s="69"/>
      <c r="BC1021" s="69"/>
      <c r="BD1021" s="69"/>
      <c r="BE1021" s="69"/>
      <c r="BF1021" s="55"/>
      <c r="BG1021" s="70"/>
      <c r="BH1021" s="63">
        <f t="shared" si="44"/>
        <v>5</v>
      </c>
      <c r="BI1021" s="63">
        <v>5</v>
      </c>
      <c r="BJ1021" s="70"/>
      <c r="BK1021" s="203">
        <f t="shared" si="45"/>
        <v>0</v>
      </c>
      <c r="BL1021" s="63"/>
      <c r="BM1021" s="71"/>
      <c r="BN1021" s="71"/>
      <c r="BO1021" s="71"/>
    </row>
    <row r="1022" spans="2:67" ht="18.95" customHeight="1">
      <c r="B1022" s="51" t="s">
        <v>189</v>
      </c>
      <c r="C1022" s="52" t="s">
        <v>1072</v>
      </c>
      <c r="D1022" s="53" t="s">
        <v>189</v>
      </c>
      <c r="E1022" s="148" t="s">
        <v>1128</v>
      </c>
      <c r="F1022" s="66"/>
      <c r="G1022" s="66"/>
      <c r="H1022" s="66"/>
      <c r="I1022" s="66"/>
      <c r="J1022" s="66"/>
      <c r="K1022" s="66"/>
      <c r="L1022" s="66"/>
      <c r="M1022" s="66"/>
      <c r="N1022" s="67"/>
      <c r="O1022" s="66"/>
      <c r="P1022" s="66"/>
      <c r="Q1022" s="66"/>
      <c r="R1022" s="66">
        <v>2</v>
      </c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  <c r="AD1022" s="66"/>
      <c r="AE1022" s="66"/>
      <c r="AF1022" s="66"/>
      <c r="AG1022" s="66"/>
      <c r="AH1022" s="66"/>
      <c r="AI1022" s="66"/>
      <c r="AJ1022" s="66"/>
      <c r="AK1022" s="66"/>
      <c r="AL1022" s="75"/>
      <c r="AM1022" s="66"/>
      <c r="AN1022" s="66"/>
      <c r="AO1022" s="66"/>
      <c r="AP1022" s="66"/>
      <c r="AQ1022" s="66"/>
      <c r="AR1022" s="68"/>
      <c r="AS1022" s="66"/>
      <c r="AT1022" s="66"/>
      <c r="AU1022" s="66"/>
      <c r="AV1022" s="69"/>
      <c r="AW1022" s="69"/>
      <c r="AX1022" s="69"/>
      <c r="AY1022" s="69"/>
      <c r="AZ1022" s="69"/>
      <c r="BA1022" s="69"/>
      <c r="BB1022" s="69"/>
      <c r="BC1022" s="69"/>
      <c r="BD1022" s="69"/>
      <c r="BE1022" s="69"/>
      <c r="BF1022" s="55"/>
      <c r="BG1022" s="70"/>
      <c r="BH1022" s="63">
        <f t="shared" si="44"/>
        <v>2</v>
      </c>
      <c r="BI1022" s="63">
        <v>2</v>
      </c>
      <c r="BJ1022" s="70"/>
      <c r="BK1022" s="203">
        <f t="shared" si="45"/>
        <v>0</v>
      </c>
      <c r="BL1022" s="63"/>
      <c r="BM1022" s="71"/>
      <c r="BN1022" s="71"/>
      <c r="BO1022" s="71"/>
    </row>
    <row r="1023" spans="2:67" ht="21.75" customHeight="1">
      <c r="B1023" s="51" t="s">
        <v>192</v>
      </c>
      <c r="C1023" s="52" t="s">
        <v>1072</v>
      </c>
      <c r="D1023" s="53" t="s">
        <v>192</v>
      </c>
      <c r="E1023" s="148" t="s">
        <v>1129</v>
      </c>
      <c r="F1023" s="66"/>
      <c r="G1023" s="66"/>
      <c r="H1023" s="66"/>
      <c r="I1023" s="66"/>
      <c r="J1023" s="66"/>
      <c r="K1023" s="66"/>
      <c r="L1023" s="66"/>
      <c r="M1023" s="66"/>
      <c r="N1023" s="67"/>
      <c r="O1023" s="66"/>
      <c r="P1023" s="66"/>
      <c r="Q1023" s="66"/>
      <c r="R1023" s="66">
        <v>3</v>
      </c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  <c r="AD1023" s="66"/>
      <c r="AE1023" s="66"/>
      <c r="AF1023" s="66"/>
      <c r="AG1023" s="66"/>
      <c r="AH1023" s="66"/>
      <c r="AI1023" s="66"/>
      <c r="AJ1023" s="66"/>
      <c r="AK1023" s="66"/>
      <c r="AL1023" s="75"/>
      <c r="AM1023" s="66"/>
      <c r="AN1023" s="66"/>
      <c r="AO1023" s="66"/>
      <c r="AP1023" s="66"/>
      <c r="AQ1023" s="66"/>
      <c r="AR1023" s="68"/>
      <c r="AS1023" s="66"/>
      <c r="AT1023" s="66"/>
      <c r="AU1023" s="66"/>
      <c r="AV1023" s="69"/>
      <c r="AW1023" s="69"/>
      <c r="AX1023" s="69"/>
      <c r="AY1023" s="69"/>
      <c r="AZ1023" s="69"/>
      <c r="BA1023" s="69"/>
      <c r="BB1023" s="69"/>
      <c r="BC1023" s="69"/>
      <c r="BD1023" s="69"/>
      <c r="BE1023" s="69"/>
      <c r="BF1023" s="55"/>
      <c r="BG1023" s="70"/>
      <c r="BH1023" s="63">
        <f t="shared" si="44"/>
        <v>3</v>
      </c>
      <c r="BI1023" s="63">
        <v>4</v>
      </c>
      <c r="BJ1023" s="70"/>
      <c r="BK1023" s="203">
        <f t="shared" si="45"/>
        <v>-1</v>
      </c>
      <c r="BL1023" s="63"/>
      <c r="BM1023" s="71"/>
      <c r="BN1023" s="71"/>
      <c r="BO1023" s="71"/>
    </row>
    <row r="1024" spans="2:67" ht="18.95" customHeight="1">
      <c r="B1024" s="51" t="s">
        <v>194</v>
      </c>
      <c r="C1024" s="52" t="s">
        <v>1072</v>
      </c>
      <c r="D1024" s="53" t="s">
        <v>194</v>
      </c>
      <c r="E1024" s="148" t="s">
        <v>1130</v>
      </c>
      <c r="F1024" s="66"/>
      <c r="G1024" s="66"/>
      <c r="H1024" s="66"/>
      <c r="I1024" s="66"/>
      <c r="J1024" s="66"/>
      <c r="K1024" s="66"/>
      <c r="L1024" s="66"/>
      <c r="M1024" s="66"/>
      <c r="N1024" s="67"/>
      <c r="O1024" s="66"/>
      <c r="P1024" s="66"/>
      <c r="Q1024" s="66"/>
      <c r="R1024" s="66">
        <v>0</v>
      </c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  <c r="AD1024" s="66"/>
      <c r="AE1024" s="66"/>
      <c r="AF1024" s="66"/>
      <c r="AG1024" s="66"/>
      <c r="AH1024" s="66"/>
      <c r="AI1024" s="66"/>
      <c r="AJ1024" s="66"/>
      <c r="AK1024" s="66"/>
      <c r="AL1024" s="66"/>
      <c r="AM1024" s="66"/>
      <c r="AN1024" s="66"/>
      <c r="AO1024" s="66"/>
      <c r="AP1024" s="66"/>
      <c r="AQ1024" s="66"/>
      <c r="AR1024" s="68"/>
      <c r="AS1024" s="66"/>
      <c r="AT1024" s="66"/>
      <c r="AU1024" s="66"/>
      <c r="AV1024" s="69"/>
      <c r="AW1024" s="69"/>
      <c r="AX1024" s="69"/>
      <c r="AY1024" s="69"/>
      <c r="AZ1024" s="69"/>
      <c r="BA1024" s="69"/>
      <c r="BB1024" s="69"/>
      <c r="BC1024" s="69"/>
      <c r="BD1024" s="69"/>
      <c r="BE1024" s="69"/>
      <c r="BF1024" s="55"/>
      <c r="BG1024" s="70"/>
      <c r="BH1024" s="63">
        <f t="shared" si="44"/>
        <v>0</v>
      </c>
      <c r="BI1024" s="63">
        <v>2</v>
      </c>
      <c r="BJ1024" s="70"/>
      <c r="BK1024" s="203">
        <f t="shared" si="45"/>
        <v>-2</v>
      </c>
      <c r="BL1024" s="63"/>
      <c r="BM1024" s="71"/>
      <c r="BN1024" s="65"/>
      <c r="BO1024" s="65"/>
    </row>
    <row r="1025" spans="2:67" ht="18.95" customHeight="1">
      <c r="B1025" s="51" t="s">
        <v>196</v>
      </c>
      <c r="C1025" s="52" t="s">
        <v>1072</v>
      </c>
      <c r="D1025" s="53" t="s">
        <v>196</v>
      </c>
      <c r="E1025" s="148" t="s">
        <v>1131</v>
      </c>
      <c r="F1025" s="55"/>
      <c r="G1025" s="66"/>
      <c r="H1025" s="66"/>
      <c r="I1025" s="66"/>
      <c r="J1025" s="66"/>
      <c r="K1025" s="66"/>
      <c r="L1025" s="66"/>
      <c r="M1025" s="66"/>
      <c r="N1025" s="67"/>
      <c r="O1025" s="66"/>
      <c r="P1025" s="66"/>
      <c r="Q1025" s="66"/>
      <c r="R1025" s="66">
        <v>1</v>
      </c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  <c r="AE1025" s="66"/>
      <c r="AF1025" s="66"/>
      <c r="AG1025" s="66"/>
      <c r="AH1025" s="66"/>
      <c r="AI1025" s="66"/>
      <c r="AJ1025" s="66"/>
      <c r="AK1025" s="66"/>
      <c r="AL1025" s="75"/>
      <c r="AM1025" s="66"/>
      <c r="AN1025" s="66"/>
      <c r="AO1025" s="66"/>
      <c r="AP1025" s="66"/>
      <c r="AQ1025" s="66"/>
      <c r="AR1025" s="68"/>
      <c r="AS1025" s="66"/>
      <c r="AT1025" s="66"/>
      <c r="AU1025" s="66"/>
      <c r="AV1025" s="69"/>
      <c r="AW1025" s="69"/>
      <c r="AX1025" s="69"/>
      <c r="AY1025" s="69"/>
      <c r="AZ1025" s="69"/>
      <c r="BA1025" s="69"/>
      <c r="BB1025" s="69"/>
      <c r="BC1025" s="69"/>
      <c r="BD1025" s="69"/>
      <c r="BE1025" s="69"/>
      <c r="BF1025" s="55"/>
      <c r="BG1025" s="70"/>
      <c r="BH1025" s="63">
        <f t="shared" si="44"/>
        <v>1</v>
      </c>
      <c r="BI1025" s="63">
        <v>1</v>
      </c>
      <c r="BJ1025" s="70"/>
      <c r="BK1025" s="203">
        <f t="shared" si="45"/>
        <v>0</v>
      </c>
      <c r="BL1025" s="63"/>
      <c r="BM1025" s="71"/>
      <c r="BN1025" s="65"/>
      <c r="BO1025" s="65"/>
    </row>
    <row r="1026" spans="2:67" ht="18.95" customHeight="1">
      <c r="B1026" s="51" t="s">
        <v>198</v>
      </c>
      <c r="C1026" s="52" t="s">
        <v>1072</v>
      </c>
      <c r="D1026" s="53" t="s">
        <v>198</v>
      </c>
      <c r="E1026" s="148" t="s">
        <v>1132</v>
      </c>
      <c r="F1026" s="66"/>
      <c r="G1026" s="66"/>
      <c r="H1026" s="66"/>
      <c r="I1026" s="66"/>
      <c r="J1026" s="66"/>
      <c r="K1026" s="66"/>
      <c r="L1026" s="66"/>
      <c r="M1026" s="66"/>
      <c r="N1026" s="67"/>
      <c r="O1026" s="66"/>
      <c r="P1026" s="66"/>
      <c r="Q1026" s="66"/>
      <c r="R1026" s="66">
        <v>2</v>
      </c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6"/>
      <c r="AK1026" s="66"/>
      <c r="AL1026" s="66"/>
      <c r="AM1026" s="66"/>
      <c r="AN1026" s="66"/>
      <c r="AO1026" s="66"/>
      <c r="AP1026" s="66"/>
      <c r="AQ1026" s="66"/>
      <c r="AR1026" s="68"/>
      <c r="AS1026" s="66"/>
      <c r="AT1026" s="66"/>
      <c r="AU1026" s="66"/>
      <c r="AV1026" s="69"/>
      <c r="AW1026" s="69"/>
      <c r="AX1026" s="69"/>
      <c r="AY1026" s="69"/>
      <c r="AZ1026" s="69"/>
      <c r="BA1026" s="69"/>
      <c r="BB1026" s="69"/>
      <c r="BC1026" s="69"/>
      <c r="BD1026" s="69"/>
      <c r="BE1026" s="69"/>
      <c r="BF1026" s="55"/>
      <c r="BG1026" s="70"/>
      <c r="BH1026" s="63">
        <f t="shared" si="44"/>
        <v>2</v>
      </c>
      <c r="BI1026" s="63">
        <v>5</v>
      </c>
      <c r="BJ1026" s="70"/>
      <c r="BK1026" s="203">
        <f t="shared" si="45"/>
        <v>-3</v>
      </c>
      <c r="BL1026" s="63"/>
      <c r="BM1026" s="71"/>
      <c r="BN1026" s="71"/>
      <c r="BO1026" s="71"/>
    </row>
    <row r="1027" spans="2:67" ht="18.95" customHeight="1">
      <c r="B1027" s="51" t="s">
        <v>200</v>
      </c>
      <c r="C1027" s="52" t="s">
        <v>1072</v>
      </c>
      <c r="D1027" s="53" t="s">
        <v>200</v>
      </c>
      <c r="E1027" s="148" t="s">
        <v>1133</v>
      </c>
      <c r="F1027" s="55"/>
      <c r="G1027" s="55"/>
      <c r="H1027" s="55"/>
      <c r="I1027" s="55"/>
      <c r="J1027" s="55"/>
      <c r="K1027" s="55"/>
      <c r="L1027" s="55"/>
      <c r="M1027" s="55"/>
      <c r="N1027" s="56"/>
      <c r="O1027" s="55"/>
      <c r="P1027" s="55"/>
      <c r="Q1027" s="55"/>
      <c r="R1027" s="55">
        <v>2</v>
      </c>
      <c r="S1027" s="55"/>
      <c r="T1027" s="55"/>
      <c r="U1027" s="55"/>
      <c r="V1027" s="55"/>
      <c r="W1027" s="55"/>
      <c r="X1027" s="55"/>
      <c r="Y1027" s="55"/>
      <c r="Z1027" s="55"/>
      <c r="AA1027" s="55"/>
      <c r="AB1027" s="55"/>
      <c r="AC1027" s="55"/>
      <c r="AD1027" s="55"/>
      <c r="AE1027" s="55"/>
      <c r="AF1027" s="55"/>
      <c r="AG1027" s="55"/>
      <c r="AH1027" s="55"/>
      <c r="AI1027" s="55"/>
      <c r="AJ1027" s="55"/>
      <c r="AK1027" s="55"/>
      <c r="AL1027" s="55"/>
      <c r="AM1027" s="55"/>
      <c r="AN1027" s="55"/>
      <c r="AO1027" s="55"/>
      <c r="AP1027" s="55"/>
      <c r="AQ1027" s="55"/>
      <c r="AR1027" s="76"/>
      <c r="AS1027" s="55"/>
      <c r="AT1027" s="55"/>
      <c r="AU1027" s="55"/>
      <c r="AV1027" s="55"/>
      <c r="AW1027" s="55"/>
      <c r="AX1027" s="55"/>
      <c r="AY1027" s="55"/>
      <c r="AZ1027" s="55"/>
      <c r="BA1027" s="55"/>
      <c r="BB1027" s="55"/>
      <c r="BC1027" s="55"/>
      <c r="BD1027" s="55"/>
      <c r="BE1027" s="55"/>
      <c r="BF1027" s="55"/>
      <c r="BG1027" s="70"/>
      <c r="BH1027" s="63">
        <f t="shared" si="44"/>
        <v>2</v>
      </c>
      <c r="BI1027" s="63">
        <v>2</v>
      </c>
      <c r="BJ1027" s="70"/>
      <c r="BK1027" s="203">
        <f t="shared" si="45"/>
        <v>0</v>
      </c>
      <c r="BL1027" s="63"/>
      <c r="BM1027" s="71"/>
      <c r="BN1027" s="65"/>
      <c r="BO1027" s="65"/>
    </row>
    <row r="1040" spans="2:67">
      <c r="B1040" s="2" t="s">
        <v>1</v>
      </c>
      <c r="C1040" s="2"/>
      <c r="D1040" s="2"/>
      <c r="E1040" s="2"/>
      <c r="F1040" s="3"/>
      <c r="G1040" s="4"/>
      <c r="H1040" s="4"/>
      <c r="I1040" s="4"/>
      <c r="J1040" s="4"/>
      <c r="K1040" s="4"/>
      <c r="L1040" s="4"/>
      <c r="M1040" s="4"/>
      <c r="N1040" s="107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5"/>
      <c r="AE1040" s="5"/>
      <c r="AF1040" s="5"/>
      <c r="AG1040" s="5"/>
      <c r="AH1040" s="5"/>
      <c r="AI1040" s="5"/>
      <c r="AJ1040" s="5"/>
      <c r="AK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5"/>
      <c r="BH1040" s="7"/>
      <c r="BI1040" s="7"/>
      <c r="BJ1040" s="5"/>
      <c r="BK1040" s="5"/>
      <c r="BM1040" s="5"/>
      <c r="BN1040" s="5"/>
      <c r="BO1040" s="5"/>
    </row>
    <row r="1041" spans="1:67" ht="18.75" customHeight="1">
      <c r="B1041" s="2"/>
      <c r="C1041" s="2"/>
      <c r="D1041" s="2"/>
      <c r="E1041" s="2"/>
      <c r="F1041" s="1" t="s">
        <v>0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8"/>
      <c r="AV1041" s="8"/>
      <c r="AW1041" s="8"/>
      <c r="AX1041" s="8"/>
      <c r="AY1041" s="8"/>
      <c r="AZ1041" s="8"/>
      <c r="BA1041" s="8"/>
      <c r="BB1041" s="8"/>
      <c r="BC1041" s="8"/>
      <c r="BD1041" s="8"/>
      <c r="BE1041" s="8"/>
      <c r="BF1041" s="9" t="s">
        <v>1134</v>
      </c>
      <c r="BG1041" s="10"/>
      <c r="BH1041" s="10"/>
      <c r="BI1041" s="10"/>
      <c r="BJ1041" s="10"/>
      <c r="BK1041" s="10"/>
      <c r="BL1041" s="10"/>
      <c r="BM1041" s="10"/>
      <c r="BN1041" s="10"/>
      <c r="BO1041" s="11"/>
    </row>
    <row r="1042" spans="1:67">
      <c r="B1042" s="12"/>
      <c r="C1042" s="12"/>
      <c r="D1042" s="12"/>
      <c r="E1042" s="12"/>
      <c r="F1042" s="13"/>
      <c r="G1042" s="14" t="s">
        <v>1071</v>
      </c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6"/>
      <c r="AM1042" s="15"/>
      <c r="AN1042" s="15"/>
      <c r="AO1042" s="15"/>
      <c r="AP1042" s="15"/>
      <c r="AQ1042" s="15"/>
      <c r="AR1042" s="17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8"/>
      <c r="BM1042" s="15"/>
      <c r="BN1042" s="15"/>
      <c r="BO1042" s="15"/>
    </row>
    <row r="1043" spans="1:67" ht="15">
      <c r="B1043" s="19" t="s">
        <v>4</v>
      </c>
      <c r="C1043" s="20" t="s">
        <v>5</v>
      </c>
      <c r="D1043" s="20"/>
      <c r="E1043" s="205" t="s">
        <v>6</v>
      </c>
      <c r="F1043" s="110" t="s">
        <v>135</v>
      </c>
      <c r="G1043" s="111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  <c r="AA1043" s="111"/>
      <c r="AB1043" s="111"/>
      <c r="AC1043" s="111"/>
      <c r="AD1043" s="111"/>
      <c r="AE1043" s="111"/>
      <c r="AF1043" s="111"/>
      <c r="AG1043" s="111"/>
      <c r="AH1043" s="111"/>
      <c r="AI1043" s="111"/>
      <c r="AJ1043" s="111"/>
      <c r="AK1043" s="111"/>
      <c r="AL1043" s="111"/>
      <c r="AM1043" s="111"/>
      <c r="AN1043" s="111"/>
      <c r="AO1043" s="111"/>
      <c r="AP1043" s="111"/>
      <c r="AQ1043" s="111"/>
      <c r="AR1043" s="111"/>
      <c r="AS1043" s="111"/>
      <c r="AT1043" s="111"/>
      <c r="AU1043" s="111"/>
      <c r="AV1043" s="111"/>
      <c r="AW1043" s="111"/>
      <c r="AX1043" s="111"/>
      <c r="AY1043" s="111"/>
      <c r="AZ1043" s="111"/>
      <c r="BA1043" s="111"/>
      <c r="BB1043" s="111"/>
      <c r="BC1043" s="111"/>
      <c r="BD1043" s="111"/>
      <c r="BE1043" s="111"/>
      <c r="BF1043" s="24" t="s">
        <v>8</v>
      </c>
      <c r="BG1043" s="25"/>
      <c r="BH1043" s="25"/>
      <c r="BI1043" s="26"/>
      <c r="BJ1043" s="31" t="s">
        <v>9</v>
      </c>
      <c r="BK1043" s="32"/>
      <c r="BL1043" s="29"/>
      <c r="BM1043" s="30"/>
      <c r="BN1043" s="31" t="s">
        <v>10</v>
      </c>
      <c r="BO1043" s="32"/>
    </row>
    <row r="1044" spans="1:67" ht="110.1" customHeight="1">
      <c r="B1044" s="33"/>
      <c r="C1044" s="34" t="s">
        <v>11</v>
      </c>
      <c r="D1044" s="35" t="s">
        <v>4</v>
      </c>
      <c r="E1044" s="35" t="s">
        <v>12</v>
      </c>
      <c r="F1044" s="36" t="s">
        <v>13</v>
      </c>
      <c r="G1044" s="36" t="s">
        <v>14</v>
      </c>
      <c r="H1044" s="36" t="s">
        <v>15</v>
      </c>
      <c r="I1044" s="36" t="s">
        <v>16</v>
      </c>
      <c r="J1044" s="36" t="s">
        <v>17</v>
      </c>
      <c r="K1044" s="36" t="s">
        <v>18</v>
      </c>
      <c r="L1044" s="36" t="s">
        <v>19</v>
      </c>
      <c r="M1044" s="36" t="s">
        <v>20</v>
      </c>
      <c r="N1044" s="37" t="s">
        <v>21</v>
      </c>
      <c r="O1044" s="36" t="s">
        <v>22</v>
      </c>
      <c r="P1044" s="36" t="s">
        <v>23</v>
      </c>
      <c r="Q1044" s="36" t="s">
        <v>24</v>
      </c>
      <c r="R1044" s="36" t="s">
        <v>25</v>
      </c>
      <c r="S1044" s="36" t="s">
        <v>26</v>
      </c>
      <c r="T1044" s="36" t="s">
        <v>27</v>
      </c>
      <c r="U1044" s="36" t="s">
        <v>28</v>
      </c>
      <c r="V1044" s="36" t="s">
        <v>29</v>
      </c>
      <c r="W1044" s="36" t="s">
        <v>30</v>
      </c>
      <c r="X1044" s="38" t="s">
        <v>31</v>
      </c>
      <c r="Y1044" s="36" t="s">
        <v>32</v>
      </c>
      <c r="Z1044" s="36" t="s">
        <v>33</v>
      </c>
      <c r="AA1044" s="36" t="s">
        <v>34</v>
      </c>
      <c r="AB1044" s="38" t="s">
        <v>35</v>
      </c>
      <c r="AC1044" s="36" t="s">
        <v>36</v>
      </c>
      <c r="AD1044" s="39" t="s">
        <v>37</v>
      </c>
      <c r="AE1044" s="36" t="s">
        <v>38</v>
      </c>
      <c r="AF1044" s="40" t="s">
        <v>39</v>
      </c>
      <c r="AG1044" s="40" t="s">
        <v>40</v>
      </c>
      <c r="AH1044" s="40" t="s">
        <v>41</v>
      </c>
      <c r="AI1044" s="40" t="s">
        <v>42</v>
      </c>
      <c r="AJ1044" s="40" t="s">
        <v>43</v>
      </c>
      <c r="AK1044" s="40" t="s">
        <v>44</v>
      </c>
      <c r="AL1044" s="41" t="s">
        <v>45</v>
      </c>
      <c r="AM1044" s="42" t="s">
        <v>46</v>
      </c>
      <c r="AN1044" s="43" t="s">
        <v>47</v>
      </c>
      <c r="AO1044" s="40" t="s">
        <v>48</v>
      </c>
      <c r="AP1044" s="40" t="s">
        <v>49</v>
      </c>
      <c r="AQ1044" s="40" t="s">
        <v>50</v>
      </c>
      <c r="AR1044" s="44" t="s">
        <v>136</v>
      </c>
      <c r="AS1044" s="36" t="s">
        <v>52</v>
      </c>
      <c r="AT1044" s="36" t="s">
        <v>53</v>
      </c>
      <c r="AU1044" s="36" t="s">
        <v>54</v>
      </c>
      <c r="AV1044" s="36" t="s">
        <v>55</v>
      </c>
      <c r="AW1044" s="36" t="s">
        <v>56</v>
      </c>
      <c r="AX1044" s="36" t="s">
        <v>203</v>
      </c>
      <c r="AY1044" s="36" t="s">
        <v>58</v>
      </c>
      <c r="AZ1044" s="38" t="s">
        <v>59</v>
      </c>
      <c r="BA1044" s="36" t="s">
        <v>60</v>
      </c>
      <c r="BB1044" s="36" t="s">
        <v>61</v>
      </c>
      <c r="BC1044" s="39" t="s">
        <v>62</v>
      </c>
      <c r="BD1044" s="36" t="s">
        <v>63</v>
      </c>
      <c r="BE1044" s="36" t="s">
        <v>64</v>
      </c>
      <c r="BF1044" s="45" t="s">
        <v>65</v>
      </c>
      <c r="BG1044" s="45" t="s">
        <v>66</v>
      </c>
      <c r="BH1044" s="206" t="s">
        <v>67</v>
      </c>
      <c r="BI1044" s="45" t="s">
        <v>68</v>
      </c>
      <c r="BJ1044" s="46" t="s">
        <v>69</v>
      </c>
      <c r="BK1044" s="46" t="s">
        <v>70</v>
      </c>
      <c r="BL1044" s="47" t="s">
        <v>71</v>
      </c>
      <c r="BM1044" s="48" t="s">
        <v>72</v>
      </c>
      <c r="BN1044" s="49" t="s">
        <v>69</v>
      </c>
      <c r="BO1044" s="50" t="s">
        <v>70</v>
      </c>
    </row>
    <row r="1045" spans="1:67" ht="18.95" customHeight="1">
      <c r="B1045" s="51" t="s">
        <v>204</v>
      </c>
      <c r="C1045" s="52" t="s">
        <v>1072</v>
      </c>
      <c r="D1045" s="53" t="s">
        <v>204</v>
      </c>
      <c r="E1045" s="115" t="s">
        <v>1135</v>
      </c>
      <c r="F1045" s="55"/>
      <c r="G1045" s="55"/>
      <c r="H1045" s="55"/>
      <c r="I1045" s="55"/>
      <c r="J1045" s="55"/>
      <c r="K1045" s="55"/>
      <c r="L1045" s="55"/>
      <c r="M1045" s="55"/>
      <c r="N1045" s="56"/>
      <c r="O1045" s="55"/>
      <c r="P1045" s="55"/>
      <c r="Q1045" s="57"/>
      <c r="R1045" s="55">
        <v>2</v>
      </c>
      <c r="S1045" s="58"/>
      <c r="T1045" s="58"/>
      <c r="U1045" s="55"/>
      <c r="V1045" s="55"/>
      <c r="W1045" s="55"/>
      <c r="X1045" s="55"/>
      <c r="Y1045" s="55"/>
      <c r="Z1045" s="55"/>
      <c r="AA1045" s="55"/>
      <c r="AB1045" s="55"/>
      <c r="AC1045" s="55"/>
      <c r="AD1045" s="55"/>
      <c r="AE1045" s="57"/>
      <c r="AF1045" s="57"/>
      <c r="AG1045" s="57"/>
      <c r="AH1045" s="57"/>
      <c r="AI1045" s="57"/>
      <c r="AJ1045" s="57"/>
      <c r="AK1045" s="57"/>
      <c r="AL1045" s="59"/>
      <c r="AM1045" s="57"/>
      <c r="AN1045" s="57"/>
      <c r="AO1045" s="55"/>
      <c r="AP1045" s="55"/>
      <c r="AQ1045" s="57"/>
      <c r="AR1045" s="60"/>
      <c r="AS1045" s="57"/>
      <c r="AT1045" s="57"/>
      <c r="AU1045" s="57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55"/>
      <c r="BG1045" s="62"/>
      <c r="BH1045" s="63">
        <f t="shared" ref="BH1045:BH1074" si="46">SUM(F1045:BG1045)</f>
        <v>2</v>
      </c>
      <c r="BI1045" s="64">
        <v>35</v>
      </c>
      <c r="BJ1045" s="62"/>
      <c r="BK1045" s="203">
        <f t="shared" ref="BK1045:BK1074" si="47">BH1045-BI1045</f>
        <v>-33</v>
      </c>
      <c r="BL1045" s="64"/>
      <c r="BM1045" s="65"/>
      <c r="BN1045" s="65"/>
      <c r="BO1045" s="65"/>
    </row>
    <row r="1046" spans="1:67" ht="18.75" customHeight="1">
      <c r="B1046" s="51" t="s">
        <v>206</v>
      </c>
      <c r="C1046" s="52" t="s">
        <v>1072</v>
      </c>
      <c r="D1046" s="53" t="s">
        <v>206</v>
      </c>
      <c r="E1046" s="115" t="s">
        <v>1136</v>
      </c>
      <c r="F1046" s="66"/>
      <c r="G1046" s="66"/>
      <c r="H1046" s="66"/>
      <c r="I1046" s="66"/>
      <c r="J1046" s="66"/>
      <c r="K1046" s="66"/>
      <c r="L1046" s="66"/>
      <c r="M1046" s="66"/>
      <c r="N1046" s="67"/>
      <c r="O1046" s="66"/>
      <c r="P1046" s="66"/>
      <c r="Q1046" s="66"/>
      <c r="R1046" s="66">
        <v>6</v>
      </c>
      <c r="S1046" s="66"/>
      <c r="T1046" s="66"/>
      <c r="U1046" s="66"/>
      <c r="V1046" s="66"/>
      <c r="W1046" s="66"/>
      <c r="X1046" s="66"/>
      <c r="Y1046" s="66"/>
      <c r="Z1046" s="66"/>
      <c r="AA1046" s="66"/>
      <c r="AB1046" s="66"/>
      <c r="AC1046" s="66"/>
      <c r="AD1046" s="66"/>
      <c r="AE1046" s="66"/>
      <c r="AF1046" s="66"/>
      <c r="AG1046" s="66"/>
      <c r="AH1046" s="66"/>
      <c r="AI1046" s="66"/>
      <c r="AJ1046" s="66"/>
      <c r="AK1046" s="66"/>
      <c r="AL1046" s="66"/>
      <c r="AM1046" s="66"/>
      <c r="AN1046" s="66"/>
      <c r="AO1046" s="66"/>
      <c r="AP1046" s="66"/>
      <c r="AQ1046" s="66"/>
      <c r="AR1046" s="68"/>
      <c r="AS1046" s="66"/>
      <c r="AT1046" s="66"/>
      <c r="AU1046" s="66"/>
      <c r="AV1046" s="69"/>
      <c r="AW1046" s="69"/>
      <c r="AX1046" s="69"/>
      <c r="AY1046" s="69"/>
      <c r="AZ1046" s="69"/>
      <c r="BA1046" s="69"/>
      <c r="BB1046" s="69"/>
      <c r="BC1046" s="69"/>
      <c r="BD1046" s="69"/>
      <c r="BE1046" s="69"/>
      <c r="BF1046" s="55"/>
      <c r="BG1046" s="70"/>
      <c r="BH1046" s="63">
        <f t="shared" si="46"/>
        <v>6</v>
      </c>
      <c r="BI1046" s="63">
        <v>8</v>
      </c>
      <c r="BJ1046" s="70"/>
      <c r="BK1046" s="203">
        <f t="shared" si="47"/>
        <v>-2</v>
      </c>
      <c r="BL1046" s="63"/>
      <c r="BM1046" s="71"/>
      <c r="BN1046" s="71"/>
      <c r="BO1046" s="72"/>
    </row>
    <row r="1047" spans="1:67" ht="18.75" customHeight="1">
      <c r="B1047" s="51" t="s">
        <v>208</v>
      </c>
      <c r="C1047" s="52" t="s">
        <v>1072</v>
      </c>
      <c r="D1047" s="53" t="s">
        <v>208</v>
      </c>
      <c r="E1047" s="115" t="s">
        <v>1137</v>
      </c>
      <c r="F1047" s="66"/>
      <c r="G1047" s="66"/>
      <c r="H1047" s="66"/>
      <c r="I1047" s="66"/>
      <c r="J1047" s="66"/>
      <c r="K1047" s="66"/>
      <c r="L1047" s="66"/>
      <c r="M1047" s="66"/>
      <c r="N1047" s="67"/>
      <c r="O1047" s="66"/>
      <c r="P1047" s="66"/>
      <c r="Q1047" s="66"/>
      <c r="R1047" s="66">
        <v>2</v>
      </c>
      <c r="S1047" s="66"/>
      <c r="T1047" s="66"/>
      <c r="U1047" s="66"/>
      <c r="V1047" s="66"/>
      <c r="W1047" s="66"/>
      <c r="X1047" s="66"/>
      <c r="Y1047" s="66"/>
      <c r="Z1047" s="66"/>
      <c r="AA1047" s="66"/>
      <c r="AB1047" s="66"/>
      <c r="AC1047" s="66"/>
      <c r="AD1047" s="66"/>
      <c r="AE1047" s="66"/>
      <c r="AF1047" s="66"/>
      <c r="AG1047" s="66"/>
      <c r="AH1047" s="66"/>
      <c r="AI1047" s="66"/>
      <c r="AJ1047" s="66"/>
      <c r="AK1047" s="66"/>
      <c r="AL1047" s="66"/>
      <c r="AM1047" s="66"/>
      <c r="AN1047" s="66"/>
      <c r="AO1047" s="66"/>
      <c r="AP1047" s="66"/>
      <c r="AQ1047" s="66"/>
      <c r="AR1047" s="68"/>
      <c r="AS1047" s="66"/>
      <c r="AT1047" s="66"/>
      <c r="AU1047" s="66"/>
      <c r="AV1047" s="69"/>
      <c r="AW1047" s="69"/>
      <c r="AX1047" s="69"/>
      <c r="AY1047" s="69"/>
      <c r="AZ1047" s="69"/>
      <c r="BA1047" s="69"/>
      <c r="BB1047" s="69"/>
      <c r="BC1047" s="69"/>
      <c r="BD1047" s="69"/>
      <c r="BE1047" s="69"/>
      <c r="BF1047" s="55"/>
      <c r="BG1047" s="70"/>
      <c r="BH1047" s="63">
        <f t="shared" si="46"/>
        <v>2</v>
      </c>
      <c r="BI1047" s="63">
        <v>2</v>
      </c>
      <c r="BJ1047" s="70"/>
      <c r="BK1047" s="203">
        <f t="shared" si="47"/>
        <v>0</v>
      </c>
      <c r="BL1047" s="63"/>
      <c r="BM1047" s="71"/>
      <c r="BN1047" s="72"/>
      <c r="BO1047" s="71"/>
    </row>
    <row r="1048" spans="1:67" ht="18.95" customHeight="1">
      <c r="B1048" s="51" t="s">
        <v>210</v>
      </c>
      <c r="C1048" s="52" t="s">
        <v>1072</v>
      </c>
      <c r="D1048" s="53" t="s">
        <v>210</v>
      </c>
      <c r="E1048" s="114" t="s">
        <v>1138</v>
      </c>
      <c r="F1048" s="66"/>
      <c r="G1048" s="66"/>
      <c r="H1048" s="66"/>
      <c r="I1048" s="66"/>
      <c r="J1048" s="66"/>
      <c r="K1048" s="66"/>
      <c r="L1048" s="66"/>
      <c r="M1048" s="66"/>
      <c r="N1048" s="67"/>
      <c r="O1048" s="66"/>
      <c r="P1048" s="66"/>
      <c r="Q1048" s="66"/>
      <c r="R1048" s="66">
        <v>0</v>
      </c>
      <c r="S1048" s="66"/>
      <c r="T1048" s="66"/>
      <c r="U1048" s="66"/>
      <c r="V1048" s="66"/>
      <c r="W1048" s="66"/>
      <c r="X1048" s="66"/>
      <c r="Y1048" s="66"/>
      <c r="Z1048" s="66"/>
      <c r="AA1048" s="66"/>
      <c r="AB1048" s="66"/>
      <c r="AC1048" s="66"/>
      <c r="AD1048" s="66"/>
      <c r="AE1048" s="66"/>
      <c r="AF1048" s="66"/>
      <c r="AG1048" s="66"/>
      <c r="AH1048" s="66"/>
      <c r="AI1048" s="66"/>
      <c r="AJ1048" s="66"/>
      <c r="AK1048" s="66"/>
      <c r="AL1048" s="66"/>
      <c r="AM1048" s="66"/>
      <c r="AN1048" s="66"/>
      <c r="AO1048" s="66"/>
      <c r="AP1048" s="66"/>
      <c r="AQ1048" s="66"/>
      <c r="AR1048" s="68"/>
      <c r="AS1048" s="66"/>
      <c r="AT1048" s="66"/>
      <c r="AU1048" s="66"/>
      <c r="AV1048" s="69"/>
      <c r="AW1048" s="69"/>
      <c r="AX1048" s="69"/>
      <c r="AY1048" s="69"/>
      <c r="AZ1048" s="69"/>
      <c r="BA1048" s="69"/>
      <c r="BB1048" s="69"/>
      <c r="BC1048" s="69"/>
      <c r="BD1048" s="69"/>
      <c r="BE1048" s="69"/>
      <c r="BF1048" s="55"/>
      <c r="BG1048" s="70"/>
      <c r="BH1048" s="63">
        <f t="shared" si="46"/>
        <v>0</v>
      </c>
      <c r="BI1048" s="63">
        <v>6</v>
      </c>
      <c r="BJ1048" s="70"/>
      <c r="BK1048" s="203">
        <f t="shared" si="47"/>
        <v>-6</v>
      </c>
      <c r="BL1048" s="63"/>
      <c r="BM1048" s="71"/>
      <c r="BN1048" s="71"/>
      <c r="BO1048" s="71"/>
    </row>
    <row r="1049" spans="1:67" ht="18.75" customHeight="1">
      <c r="B1049" s="51" t="s">
        <v>212</v>
      </c>
      <c r="C1049" s="52" t="s">
        <v>1072</v>
      </c>
      <c r="D1049" s="53" t="s">
        <v>212</v>
      </c>
      <c r="E1049" s="115" t="s">
        <v>1139</v>
      </c>
      <c r="F1049" s="66"/>
      <c r="G1049" s="66"/>
      <c r="H1049" s="66"/>
      <c r="I1049" s="66"/>
      <c r="J1049" s="66"/>
      <c r="K1049" s="66"/>
      <c r="L1049" s="66"/>
      <c r="M1049" s="66"/>
      <c r="N1049" s="67"/>
      <c r="O1049" s="66"/>
      <c r="P1049" s="66"/>
      <c r="Q1049" s="66"/>
      <c r="R1049" s="66">
        <v>0</v>
      </c>
      <c r="S1049" s="66"/>
      <c r="T1049" s="66"/>
      <c r="U1049" s="66"/>
      <c r="V1049" s="66"/>
      <c r="W1049" s="66"/>
      <c r="X1049" s="66"/>
      <c r="Y1049" s="66"/>
      <c r="Z1049" s="66"/>
      <c r="AA1049" s="66"/>
      <c r="AB1049" s="66"/>
      <c r="AC1049" s="66"/>
      <c r="AD1049" s="66"/>
      <c r="AE1049" s="66"/>
      <c r="AF1049" s="66"/>
      <c r="AG1049" s="66"/>
      <c r="AH1049" s="66"/>
      <c r="AI1049" s="66"/>
      <c r="AJ1049" s="66"/>
      <c r="AK1049" s="66"/>
      <c r="AL1049" s="66"/>
      <c r="AM1049" s="66"/>
      <c r="AN1049" s="66"/>
      <c r="AO1049" s="66"/>
      <c r="AP1049" s="66"/>
      <c r="AQ1049" s="66"/>
      <c r="AR1049" s="68"/>
      <c r="AS1049" s="66"/>
      <c r="AT1049" s="66"/>
      <c r="AU1049" s="66"/>
      <c r="AV1049" s="69"/>
      <c r="AW1049" s="69"/>
      <c r="AX1049" s="69"/>
      <c r="AY1049" s="69"/>
      <c r="AZ1049" s="69"/>
      <c r="BA1049" s="69"/>
      <c r="BB1049" s="69"/>
      <c r="BC1049" s="69"/>
      <c r="BD1049" s="69"/>
      <c r="BE1049" s="69"/>
      <c r="BF1049" s="55"/>
      <c r="BG1049" s="70"/>
      <c r="BH1049" s="63">
        <f t="shared" si="46"/>
        <v>0</v>
      </c>
      <c r="BI1049" s="63">
        <v>6</v>
      </c>
      <c r="BJ1049" s="70"/>
      <c r="BK1049" s="203">
        <f t="shared" si="47"/>
        <v>-6</v>
      </c>
      <c r="BL1049" s="63"/>
      <c r="BM1049" s="71"/>
      <c r="BN1049" s="71"/>
      <c r="BO1049" s="71"/>
    </row>
    <row r="1050" spans="1:67" ht="18.75" customHeight="1">
      <c r="A1050" s="86">
        <v>1</v>
      </c>
      <c r="B1050" s="51" t="s">
        <v>214</v>
      </c>
      <c r="C1050" s="52" t="s">
        <v>1072</v>
      </c>
      <c r="D1050" s="53" t="s">
        <v>214</v>
      </c>
      <c r="E1050" s="115" t="s">
        <v>1140</v>
      </c>
      <c r="F1050" s="66"/>
      <c r="G1050" s="66"/>
      <c r="H1050" s="66"/>
      <c r="I1050" s="66"/>
      <c r="J1050" s="66"/>
      <c r="K1050" s="66"/>
      <c r="L1050" s="66"/>
      <c r="M1050" s="66"/>
      <c r="N1050" s="67"/>
      <c r="O1050" s="66"/>
      <c r="P1050" s="66"/>
      <c r="Q1050" s="66"/>
      <c r="R1050" s="66">
        <v>9</v>
      </c>
      <c r="S1050" s="66"/>
      <c r="T1050" s="66"/>
      <c r="U1050" s="66"/>
      <c r="V1050" s="66"/>
      <c r="W1050" s="66"/>
      <c r="X1050" s="66"/>
      <c r="Y1050" s="66"/>
      <c r="Z1050" s="66"/>
      <c r="AA1050" s="66"/>
      <c r="AB1050" s="66"/>
      <c r="AC1050" s="66"/>
      <c r="AD1050" s="66"/>
      <c r="AE1050" s="66"/>
      <c r="AF1050" s="66"/>
      <c r="AG1050" s="66"/>
      <c r="AH1050" s="66"/>
      <c r="AI1050" s="66"/>
      <c r="AJ1050" s="66"/>
      <c r="AK1050" s="66"/>
      <c r="AL1050" s="66"/>
      <c r="AM1050" s="66"/>
      <c r="AN1050" s="66"/>
      <c r="AO1050" s="66"/>
      <c r="AP1050" s="66"/>
      <c r="AQ1050" s="66"/>
      <c r="AR1050" s="68"/>
      <c r="AS1050" s="66"/>
      <c r="AT1050" s="66"/>
      <c r="AU1050" s="66"/>
      <c r="AV1050" s="69"/>
      <c r="AW1050" s="69"/>
      <c r="AX1050" s="69"/>
      <c r="AY1050" s="69"/>
      <c r="AZ1050" s="69"/>
      <c r="BA1050" s="69"/>
      <c r="BB1050" s="69"/>
      <c r="BC1050" s="69"/>
      <c r="BD1050" s="69"/>
      <c r="BE1050" s="69">
        <v>1</v>
      </c>
      <c r="BF1050" s="55"/>
      <c r="BG1050" s="70"/>
      <c r="BH1050" s="63">
        <f t="shared" si="46"/>
        <v>10</v>
      </c>
      <c r="BI1050" s="63">
        <v>10</v>
      </c>
      <c r="BJ1050" s="70"/>
      <c r="BK1050" s="203">
        <f t="shared" si="47"/>
        <v>0</v>
      </c>
      <c r="BL1050" s="63"/>
      <c r="BM1050" s="71"/>
      <c r="BN1050" s="71"/>
      <c r="BO1050" s="71"/>
    </row>
    <row r="1051" spans="1:67" ht="18.75" customHeight="1">
      <c r="B1051" s="51" t="s">
        <v>216</v>
      </c>
      <c r="C1051" s="52" t="s">
        <v>1072</v>
      </c>
      <c r="D1051" s="53" t="s">
        <v>216</v>
      </c>
      <c r="E1051" s="115" t="s">
        <v>1141</v>
      </c>
      <c r="F1051" s="66"/>
      <c r="G1051" s="66"/>
      <c r="H1051" s="66"/>
      <c r="I1051" s="66"/>
      <c r="J1051" s="66"/>
      <c r="K1051" s="66"/>
      <c r="L1051" s="66"/>
      <c r="M1051" s="66"/>
      <c r="N1051" s="67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66"/>
      <c r="AI1051" s="66"/>
      <c r="AJ1051" s="66"/>
      <c r="AK1051" s="66"/>
      <c r="AL1051" s="66"/>
      <c r="AM1051" s="66"/>
      <c r="AN1051" s="66"/>
      <c r="AO1051" s="66"/>
      <c r="AP1051" s="66"/>
      <c r="AQ1051" s="66"/>
      <c r="AR1051" s="68"/>
      <c r="AS1051" s="66"/>
      <c r="AT1051" s="66"/>
      <c r="AU1051" s="66"/>
      <c r="AV1051" s="69"/>
      <c r="AW1051" s="69"/>
      <c r="AX1051" s="69"/>
      <c r="AY1051" s="69"/>
      <c r="AZ1051" s="69"/>
      <c r="BA1051" s="69"/>
      <c r="BB1051" s="69"/>
      <c r="BC1051" s="69"/>
      <c r="BD1051" s="69"/>
      <c r="BE1051" s="69">
        <v>1</v>
      </c>
      <c r="BF1051" s="55"/>
      <c r="BG1051" s="70"/>
      <c r="BH1051" s="63">
        <f t="shared" si="46"/>
        <v>1</v>
      </c>
      <c r="BI1051" s="63">
        <v>1</v>
      </c>
      <c r="BJ1051" s="70"/>
      <c r="BK1051" s="203">
        <f t="shared" si="47"/>
        <v>0</v>
      </c>
      <c r="BL1051" s="63"/>
      <c r="BM1051" s="71"/>
      <c r="BN1051" s="71"/>
      <c r="BO1051" s="71"/>
    </row>
    <row r="1052" spans="1:67" ht="18.95" customHeight="1">
      <c r="B1052" s="51" t="s">
        <v>218</v>
      </c>
      <c r="C1052" s="52" t="s">
        <v>1072</v>
      </c>
      <c r="D1052" s="53" t="s">
        <v>218</v>
      </c>
      <c r="E1052" s="115" t="s">
        <v>1142</v>
      </c>
      <c r="F1052" s="66"/>
      <c r="G1052" s="66"/>
      <c r="H1052" s="66"/>
      <c r="I1052" s="66"/>
      <c r="J1052" s="66"/>
      <c r="K1052" s="66"/>
      <c r="L1052" s="66"/>
      <c r="M1052" s="66"/>
      <c r="N1052" s="67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66"/>
      <c r="AI1052" s="66"/>
      <c r="AJ1052" s="66"/>
      <c r="AK1052" s="66"/>
      <c r="AL1052" s="66"/>
      <c r="AM1052" s="66"/>
      <c r="AN1052" s="66"/>
      <c r="AO1052" s="66"/>
      <c r="AP1052" s="66"/>
      <c r="AQ1052" s="66"/>
      <c r="AR1052" s="68"/>
      <c r="AS1052" s="66"/>
      <c r="AT1052" s="66"/>
      <c r="AU1052" s="66"/>
      <c r="AV1052" s="69"/>
      <c r="AW1052" s="69"/>
      <c r="AX1052" s="69"/>
      <c r="AY1052" s="69"/>
      <c r="AZ1052" s="69"/>
      <c r="BA1052" s="69"/>
      <c r="BB1052" s="69"/>
      <c r="BC1052" s="69"/>
      <c r="BD1052" s="69"/>
      <c r="BE1052" s="69">
        <v>10</v>
      </c>
      <c r="BF1052" s="55"/>
      <c r="BG1052" s="70"/>
      <c r="BH1052" s="63">
        <f t="shared" si="46"/>
        <v>10</v>
      </c>
      <c r="BI1052" s="63">
        <v>10</v>
      </c>
      <c r="BJ1052" s="70"/>
      <c r="BK1052" s="203">
        <f t="shared" si="47"/>
        <v>0</v>
      </c>
      <c r="BL1052" s="63"/>
      <c r="BM1052" s="71"/>
      <c r="BN1052" s="71"/>
      <c r="BO1052" s="71"/>
    </row>
    <row r="1053" spans="1:67" ht="18.95" customHeight="1">
      <c r="B1053" s="51" t="s">
        <v>220</v>
      </c>
      <c r="C1053" s="52" t="s">
        <v>1072</v>
      </c>
      <c r="D1053" s="53" t="s">
        <v>220</v>
      </c>
      <c r="E1053" s="115" t="s">
        <v>1143</v>
      </c>
      <c r="F1053" s="66"/>
      <c r="G1053" s="66"/>
      <c r="H1053" s="66"/>
      <c r="I1053" s="66"/>
      <c r="J1053" s="66"/>
      <c r="K1053" s="66"/>
      <c r="L1053" s="66"/>
      <c r="M1053" s="66"/>
      <c r="N1053" s="67"/>
      <c r="O1053" s="66"/>
      <c r="P1053" s="66"/>
      <c r="Q1053" s="66"/>
      <c r="R1053" s="66">
        <v>20</v>
      </c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66"/>
      <c r="AI1053" s="66"/>
      <c r="AJ1053" s="66"/>
      <c r="AK1053" s="66"/>
      <c r="AL1053" s="66"/>
      <c r="AM1053" s="66"/>
      <c r="AN1053" s="66"/>
      <c r="AO1053" s="66"/>
      <c r="AP1053" s="66"/>
      <c r="AQ1053" s="66"/>
      <c r="AR1053" s="68"/>
      <c r="AS1053" s="66"/>
      <c r="AT1053" s="66"/>
      <c r="AU1053" s="66"/>
      <c r="AV1053" s="69"/>
      <c r="AW1053" s="69"/>
      <c r="AX1053" s="69"/>
      <c r="AY1053" s="69"/>
      <c r="AZ1053" s="69"/>
      <c r="BA1053" s="69"/>
      <c r="BB1053" s="69"/>
      <c r="BC1053" s="69"/>
      <c r="BD1053" s="69"/>
      <c r="BE1053" s="69"/>
      <c r="BF1053" s="55"/>
      <c r="BG1053" s="70"/>
      <c r="BH1053" s="63">
        <f t="shared" si="46"/>
        <v>20</v>
      </c>
      <c r="BI1053" s="63">
        <v>20</v>
      </c>
      <c r="BJ1053" s="70"/>
      <c r="BK1053" s="203">
        <f t="shared" si="47"/>
        <v>0</v>
      </c>
      <c r="BL1053" s="63"/>
      <c r="BM1053" s="71"/>
      <c r="BN1053" s="71"/>
      <c r="BO1053" s="71"/>
    </row>
    <row r="1054" spans="1:67" ht="18.75" customHeight="1">
      <c r="B1054" s="51" t="s">
        <v>222</v>
      </c>
      <c r="C1054" s="52" t="s">
        <v>1072</v>
      </c>
      <c r="D1054" s="53" t="s">
        <v>222</v>
      </c>
      <c r="E1054" s="115" t="s">
        <v>1144</v>
      </c>
      <c r="F1054" s="66">
        <v>1</v>
      </c>
      <c r="G1054" s="66"/>
      <c r="H1054" s="66"/>
      <c r="I1054" s="66"/>
      <c r="J1054" s="66"/>
      <c r="K1054" s="66"/>
      <c r="L1054" s="66"/>
      <c r="M1054" s="66"/>
      <c r="N1054" s="67"/>
      <c r="O1054" s="66"/>
      <c r="P1054" s="66"/>
      <c r="Q1054" s="66"/>
      <c r="R1054" s="66">
        <v>9</v>
      </c>
      <c r="S1054" s="66"/>
      <c r="T1054" s="66"/>
      <c r="U1054" s="66"/>
      <c r="V1054" s="66"/>
      <c r="W1054" s="66"/>
      <c r="X1054" s="66"/>
      <c r="Y1054" s="66"/>
      <c r="Z1054" s="66"/>
      <c r="AA1054" s="66"/>
      <c r="AB1054" s="66"/>
      <c r="AC1054" s="66"/>
      <c r="AD1054" s="66"/>
      <c r="AE1054" s="66"/>
      <c r="AF1054" s="66"/>
      <c r="AG1054" s="66"/>
      <c r="AH1054" s="66"/>
      <c r="AI1054" s="66"/>
      <c r="AJ1054" s="66"/>
      <c r="AK1054" s="66"/>
      <c r="AL1054" s="66"/>
      <c r="AM1054" s="66"/>
      <c r="AN1054" s="66"/>
      <c r="AO1054" s="66"/>
      <c r="AP1054" s="66"/>
      <c r="AQ1054" s="66"/>
      <c r="AR1054" s="68"/>
      <c r="AS1054" s="66"/>
      <c r="AT1054" s="66"/>
      <c r="AU1054" s="66"/>
      <c r="AV1054" s="69"/>
      <c r="AW1054" s="69"/>
      <c r="AX1054" s="69"/>
      <c r="AY1054" s="69"/>
      <c r="AZ1054" s="69"/>
      <c r="BA1054" s="69"/>
      <c r="BB1054" s="69"/>
      <c r="BC1054" s="69"/>
      <c r="BD1054" s="69"/>
      <c r="BE1054" s="69"/>
      <c r="BF1054" s="55"/>
      <c r="BG1054" s="70"/>
      <c r="BH1054" s="63">
        <f t="shared" si="46"/>
        <v>10</v>
      </c>
      <c r="BI1054" s="63">
        <v>10</v>
      </c>
      <c r="BJ1054" s="70"/>
      <c r="BK1054" s="203">
        <f t="shared" si="47"/>
        <v>0</v>
      </c>
      <c r="BL1054" s="63"/>
      <c r="BM1054" s="71"/>
      <c r="BN1054" s="71"/>
      <c r="BO1054" s="71"/>
    </row>
    <row r="1055" spans="1:67" ht="18.75" customHeight="1">
      <c r="B1055" s="51" t="s">
        <v>224</v>
      </c>
      <c r="C1055" s="52" t="s">
        <v>1072</v>
      </c>
      <c r="D1055" s="53" t="s">
        <v>224</v>
      </c>
      <c r="E1055" s="115" t="s">
        <v>1145</v>
      </c>
      <c r="F1055" s="66"/>
      <c r="G1055" s="66"/>
      <c r="H1055" s="66"/>
      <c r="I1055" s="66"/>
      <c r="J1055" s="66"/>
      <c r="K1055" s="66"/>
      <c r="L1055" s="66"/>
      <c r="M1055" s="66"/>
      <c r="N1055" s="67"/>
      <c r="O1055" s="66"/>
      <c r="P1055" s="66"/>
      <c r="Q1055" s="66"/>
      <c r="R1055" s="66">
        <v>0</v>
      </c>
      <c r="S1055" s="66"/>
      <c r="T1055" s="66"/>
      <c r="U1055" s="66"/>
      <c r="V1055" s="66"/>
      <c r="W1055" s="66"/>
      <c r="X1055" s="66"/>
      <c r="Y1055" s="66"/>
      <c r="Z1055" s="66"/>
      <c r="AA1055" s="66"/>
      <c r="AB1055" s="66"/>
      <c r="AC1055" s="66"/>
      <c r="AD1055" s="66"/>
      <c r="AE1055" s="66"/>
      <c r="AF1055" s="66"/>
      <c r="AG1055" s="66"/>
      <c r="AH1055" s="66"/>
      <c r="AI1055" s="66"/>
      <c r="AJ1055" s="66"/>
      <c r="AK1055" s="66"/>
      <c r="AL1055" s="66"/>
      <c r="AM1055" s="66"/>
      <c r="AN1055" s="66"/>
      <c r="AO1055" s="66"/>
      <c r="AP1055" s="66"/>
      <c r="AQ1055" s="66"/>
      <c r="AR1055" s="68"/>
      <c r="AS1055" s="66"/>
      <c r="AT1055" s="66"/>
      <c r="AU1055" s="66"/>
      <c r="AV1055" s="69"/>
      <c r="AW1055" s="69"/>
      <c r="AX1055" s="69"/>
      <c r="AY1055" s="69"/>
      <c r="AZ1055" s="69"/>
      <c r="BA1055" s="69"/>
      <c r="BB1055" s="69"/>
      <c r="BC1055" s="69"/>
      <c r="BD1055" s="69"/>
      <c r="BE1055" s="69"/>
      <c r="BF1055" s="55"/>
      <c r="BG1055" s="70"/>
      <c r="BH1055" s="63">
        <f t="shared" si="46"/>
        <v>0</v>
      </c>
      <c r="BI1055" s="63">
        <v>1</v>
      </c>
      <c r="BJ1055" s="70"/>
      <c r="BK1055" s="203">
        <f t="shared" si="47"/>
        <v>-1</v>
      </c>
      <c r="BL1055" s="63"/>
      <c r="BM1055" s="71"/>
      <c r="BN1055" s="71"/>
      <c r="BO1055" s="71"/>
    </row>
    <row r="1056" spans="1:67" ht="18.95" customHeight="1">
      <c r="B1056" s="51" t="s">
        <v>226</v>
      </c>
      <c r="C1056" s="52" t="s">
        <v>1072</v>
      </c>
      <c r="D1056" s="53" t="s">
        <v>226</v>
      </c>
      <c r="E1056" s="115" t="s">
        <v>1146</v>
      </c>
      <c r="F1056" s="66"/>
      <c r="G1056" s="66"/>
      <c r="H1056" s="66"/>
      <c r="I1056" s="66"/>
      <c r="J1056" s="66"/>
      <c r="K1056" s="66"/>
      <c r="L1056" s="66"/>
      <c r="M1056" s="66"/>
      <c r="N1056" s="67"/>
      <c r="O1056" s="66"/>
      <c r="P1056" s="66"/>
      <c r="Q1056" s="66"/>
      <c r="R1056" s="66">
        <v>0</v>
      </c>
      <c r="S1056" s="66"/>
      <c r="T1056" s="66"/>
      <c r="U1056" s="66"/>
      <c r="V1056" s="66"/>
      <c r="W1056" s="66"/>
      <c r="X1056" s="66"/>
      <c r="Y1056" s="66"/>
      <c r="Z1056" s="66"/>
      <c r="AA1056" s="66"/>
      <c r="AB1056" s="66"/>
      <c r="AC1056" s="66"/>
      <c r="AD1056" s="66"/>
      <c r="AE1056" s="66"/>
      <c r="AF1056" s="66"/>
      <c r="AG1056" s="66"/>
      <c r="AH1056" s="66"/>
      <c r="AI1056" s="66"/>
      <c r="AJ1056" s="66"/>
      <c r="AK1056" s="66"/>
      <c r="AL1056" s="66"/>
      <c r="AM1056" s="66"/>
      <c r="AN1056" s="66"/>
      <c r="AO1056" s="66"/>
      <c r="AP1056" s="66"/>
      <c r="AQ1056" s="66"/>
      <c r="AR1056" s="68"/>
      <c r="AS1056" s="66"/>
      <c r="AT1056" s="66"/>
      <c r="AU1056" s="66"/>
      <c r="AV1056" s="69"/>
      <c r="AW1056" s="69"/>
      <c r="AX1056" s="69"/>
      <c r="AY1056" s="69"/>
      <c r="AZ1056" s="69"/>
      <c r="BA1056" s="69"/>
      <c r="BB1056" s="69"/>
      <c r="BC1056" s="69"/>
      <c r="BD1056" s="69"/>
      <c r="BE1056" s="69"/>
      <c r="BF1056" s="55"/>
      <c r="BG1056" s="70"/>
      <c r="BH1056" s="63">
        <f t="shared" si="46"/>
        <v>0</v>
      </c>
      <c r="BI1056" s="63">
        <v>3</v>
      </c>
      <c r="BJ1056" s="70"/>
      <c r="BK1056" s="203">
        <f t="shared" si="47"/>
        <v>-3</v>
      </c>
      <c r="BL1056" s="63"/>
      <c r="BM1056" s="71"/>
      <c r="BN1056" s="71"/>
      <c r="BO1056" s="71"/>
    </row>
    <row r="1057" spans="2:67" ht="18.75" customHeight="1">
      <c r="B1057" s="51" t="s">
        <v>228</v>
      </c>
      <c r="C1057" s="52" t="s">
        <v>1072</v>
      </c>
      <c r="D1057" s="53" t="s">
        <v>228</v>
      </c>
      <c r="E1057" s="115" t="s">
        <v>1147</v>
      </c>
      <c r="F1057" s="66"/>
      <c r="G1057" s="66"/>
      <c r="H1057" s="66"/>
      <c r="I1057" s="66"/>
      <c r="J1057" s="66"/>
      <c r="K1057" s="66"/>
      <c r="L1057" s="66"/>
      <c r="M1057" s="66"/>
      <c r="N1057" s="67"/>
      <c r="O1057" s="66"/>
      <c r="P1057" s="66"/>
      <c r="Q1057" s="66"/>
      <c r="R1057" s="66">
        <v>0</v>
      </c>
      <c r="S1057" s="66"/>
      <c r="T1057" s="66"/>
      <c r="U1057" s="66"/>
      <c r="V1057" s="66"/>
      <c r="W1057" s="66"/>
      <c r="X1057" s="66"/>
      <c r="Y1057" s="66"/>
      <c r="Z1057" s="66"/>
      <c r="AA1057" s="66"/>
      <c r="AB1057" s="66"/>
      <c r="AC1057" s="66"/>
      <c r="AD1057" s="66"/>
      <c r="AE1057" s="66"/>
      <c r="AF1057" s="66"/>
      <c r="AG1057" s="66"/>
      <c r="AH1057" s="66"/>
      <c r="AI1057" s="66"/>
      <c r="AJ1057" s="66"/>
      <c r="AK1057" s="66"/>
      <c r="AL1057" s="66"/>
      <c r="AM1057" s="66"/>
      <c r="AN1057" s="66"/>
      <c r="AO1057" s="66"/>
      <c r="AP1057" s="66"/>
      <c r="AQ1057" s="66"/>
      <c r="AR1057" s="68"/>
      <c r="AS1057" s="66"/>
      <c r="AT1057" s="66"/>
      <c r="AU1057" s="66"/>
      <c r="AV1057" s="69"/>
      <c r="AW1057" s="69"/>
      <c r="AX1057" s="69"/>
      <c r="AY1057" s="69"/>
      <c r="AZ1057" s="69"/>
      <c r="BA1057" s="69"/>
      <c r="BB1057" s="69"/>
      <c r="BC1057" s="69"/>
      <c r="BD1057" s="69"/>
      <c r="BE1057" s="69"/>
      <c r="BF1057" s="55"/>
      <c r="BG1057" s="70"/>
      <c r="BH1057" s="63">
        <f t="shared" si="46"/>
        <v>0</v>
      </c>
      <c r="BI1057" s="63">
        <v>2</v>
      </c>
      <c r="BJ1057" s="70"/>
      <c r="BK1057" s="203">
        <f t="shared" si="47"/>
        <v>-2</v>
      </c>
      <c r="BL1057" s="63"/>
      <c r="BM1057" s="71"/>
      <c r="BN1057" s="71"/>
      <c r="BO1057" s="71"/>
    </row>
    <row r="1058" spans="2:67" ht="18.75" customHeight="1">
      <c r="B1058" s="51" t="s">
        <v>230</v>
      </c>
      <c r="C1058" s="52" t="s">
        <v>1072</v>
      </c>
      <c r="D1058" s="53" t="s">
        <v>230</v>
      </c>
      <c r="E1058" s="115" t="s">
        <v>1148</v>
      </c>
      <c r="F1058" s="66"/>
      <c r="G1058" s="66"/>
      <c r="H1058" s="66"/>
      <c r="I1058" s="66"/>
      <c r="J1058" s="66"/>
      <c r="K1058" s="66"/>
      <c r="L1058" s="66"/>
      <c r="M1058" s="66"/>
      <c r="N1058" s="67"/>
      <c r="O1058" s="66"/>
      <c r="P1058" s="66"/>
      <c r="Q1058" s="66"/>
      <c r="R1058" s="66">
        <v>1</v>
      </c>
      <c r="S1058" s="66"/>
      <c r="T1058" s="66"/>
      <c r="U1058" s="66"/>
      <c r="V1058" s="66"/>
      <c r="W1058" s="66"/>
      <c r="X1058" s="66"/>
      <c r="Y1058" s="66"/>
      <c r="Z1058" s="66"/>
      <c r="AA1058" s="66"/>
      <c r="AB1058" s="66"/>
      <c r="AC1058" s="66"/>
      <c r="AD1058" s="66"/>
      <c r="AE1058" s="66"/>
      <c r="AF1058" s="66"/>
      <c r="AG1058" s="66"/>
      <c r="AH1058" s="66"/>
      <c r="AI1058" s="66"/>
      <c r="AJ1058" s="66"/>
      <c r="AK1058" s="66"/>
      <c r="AL1058" s="66"/>
      <c r="AM1058" s="66"/>
      <c r="AN1058" s="66"/>
      <c r="AO1058" s="66"/>
      <c r="AP1058" s="66"/>
      <c r="AQ1058" s="66"/>
      <c r="AR1058" s="68"/>
      <c r="AS1058" s="66"/>
      <c r="AT1058" s="66"/>
      <c r="AU1058" s="66"/>
      <c r="AV1058" s="69"/>
      <c r="AW1058" s="69"/>
      <c r="AX1058" s="69"/>
      <c r="AY1058" s="69"/>
      <c r="AZ1058" s="69"/>
      <c r="BA1058" s="69"/>
      <c r="BB1058" s="69"/>
      <c r="BC1058" s="69"/>
      <c r="BD1058" s="69"/>
      <c r="BE1058" s="69"/>
      <c r="BF1058" s="55"/>
      <c r="BG1058" s="70"/>
      <c r="BH1058" s="63">
        <f t="shared" si="46"/>
        <v>1</v>
      </c>
      <c r="BI1058" s="63">
        <v>1</v>
      </c>
      <c r="BJ1058" s="70"/>
      <c r="BK1058" s="203">
        <f t="shared" si="47"/>
        <v>0</v>
      </c>
      <c r="BL1058" s="63"/>
      <c r="BM1058" s="71"/>
      <c r="BN1058" s="71"/>
      <c r="BO1058" s="71"/>
    </row>
    <row r="1059" spans="2:67" ht="18.75" customHeight="1">
      <c r="B1059" s="51" t="s">
        <v>232</v>
      </c>
      <c r="C1059" s="52" t="s">
        <v>1072</v>
      </c>
      <c r="D1059" s="53" t="s">
        <v>232</v>
      </c>
      <c r="E1059" s="207" t="s">
        <v>1149</v>
      </c>
      <c r="F1059" s="66"/>
      <c r="G1059" s="66"/>
      <c r="H1059" s="66"/>
      <c r="I1059" s="66"/>
      <c r="J1059" s="66"/>
      <c r="K1059" s="66"/>
      <c r="L1059" s="66"/>
      <c r="M1059" s="66"/>
      <c r="N1059" s="67"/>
      <c r="O1059" s="66"/>
      <c r="P1059" s="66"/>
      <c r="Q1059" s="66"/>
      <c r="R1059" s="66">
        <v>5</v>
      </c>
      <c r="S1059" s="66"/>
      <c r="T1059" s="66"/>
      <c r="U1059" s="66"/>
      <c r="V1059" s="66"/>
      <c r="W1059" s="66"/>
      <c r="X1059" s="66"/>
      <c r="Y1059" s="66"/>
      <c r="Z1059" s="66"/>
      <c r="AA1059" s="66"/>
      <c r="AB1059" s="66"/>
      <c r="AC1059" s="66"/>
      <c r="AD1059" s="66"/>
      <c r="AE1059" s="66"/>
      <c r="AF1059" s="66"/>
      <c r="AG1059" s="66"/>
      <c r="AH1059" s="66"/>
      <c r="AI1059" s="66"/>
      <c r="AJ1059" s="66"/>
      <c r="AK1059" s="66"/>
      <c r="AL1059" s="66"/>
      <c r="AM1059" s="66"/>
      <c r="AN1059" s="66"/>
      <c r="AO1059" s="66"/>
      <c r="AP1059" s="66"/>
      <c r="AQ1059" s="66"/>
      <c r="AR1059" s="68"/>
      <c r="AS1059" s="66"/>
      <c r="AT1059" s="66"/>
      <c r="AU1059" s="66"/>
      <c r="AV1059" s="69"/>
      <c r="AW1059" s="69"/>
      <c r="AX1059" s="69"/>
      <c r="AY1059" s="69"/>
      <c r="AZ1059" s="69"/>
      <c r="BA1059" s="69"/>
      <c r="BB1059" s="69"/>
      <c r="BC1059" s="69"/>
      <c r="BD1059" s="69"/>
      <c r="BE1059" s="69"/>
      <c r="BF1059" s="55"/>
      <c r="BG1059" s="70"/>
      <c r="BH1059" s="63">
        <f t="shared" si="46"/>
        <v>5</v>
      </c>
      <c r="BI1059" s="63">
        <v>20</v>
      </c>
      <c r="BJ1059" s="70"/>
      <c r="BK1059" s="203">
        <f t="shared" si="47"/>
        <v>-15</v>
      </c>
      <c r="BL1059" s="63"/>
      <c r="BM1059" s="71"/>
      <c r="BN1059" s="71"/>
      <c r="BO1059" s="71"/>
    </row>
    <row r="1060" spans="2:67" ht="18.95" customHeight="1">
      <c r="B1060" s="51" t="s">
        <v>234</v>
      </c>
      <c r="C1060" s="52" t="s">
        <v>1072</v>
      </c>
      <c r="D1060" s="53" t="s">
        <v>234</v>
      </c>
      <c r="E1060" s="208" t="s">
        <v>1150</v>
      </c>
      <c r="F1060" s="66"/>
      <c r="G1060" s="66"/>
      <c r="H1060" s="66"/>
      <c r="I1060" s="66"/>
      <c r="J1060" s="66"/>
      <c r="K1060" s="66"/>
      <c r="L1060" s="66"/>
      <c r="M1060" s="66"/>
      <c r="N1060" s="67"/>
      <c r="O1060" s="66"/>
      <c r="P1060" s="66"/>
      <c r="Q1060" s="66"/>
      <c r="R1060" s="66">
        <v>9</v>
      </c>
      <c r="S1060" s="66"/>
      <c r="T1060" s="66"/>
      <c r="U1060" s="66"/>
      <c r="V1060" s="66"/>
      <c r="W1060" s="66"/>
      <c r="X1060" s="66"/>
      <c r="Y1060" s="66"/>
      <c r="Z1060" s="66"/>
      <c r="AA1060" s="66"/>
      <c r="AB1060" s="66"/>
      <c r="AC1060" s="66"/>
      <c r="AD1060" s="66"/>
      <c r="AE1060" s="66"/>
      <c r="AF1060" s="66"/>
      <c r="AG1060" s="66"/>
      <c r="AH1060" s="66"/>
      <c r="AI1060" s="66"/>
      <c r="AJ1060" s="66"/>
      <c r="AK1060" s="66"/>
      <c r="AL1060" s="66"/>
      <c r="AM1060" s="66"/>
      <c r="AN1060" s="66"/>
      <c r="AO1060" s="66"/>
      <c r="AP1060" s="66"/>
      <c r="AQ1060" s="66"/>
      <c r="AR1060" s="68"/>
      <c r="AS1060" s="66"/>
      <c r="AT1060" s="66"/>
      <c r="AU1060" s="66"/>
      <c r="AV1060" s="69"/>
      <c r="AW1060" s="69"/>
      <c r="AX1060" s="69"/>
      <c r="AY1060" s="69"/>
      <c r="AZ1060" s="69"/>
      <c r="BA1060" s="69"/>
      <c r="BB1060" s="69"/>
      <c r="BC1060" s="69"/>
      <c r="BD1060" s="69"/>
      <c r="BE1060" s="69"/>
      <c r="BF1060" s="55"/>
      <c r="BG1060" s="70"/>
      <c r="BH1060" s="63">
        <f t="shared" si="46"/>
        <v>9</v>
      </c>
      <c r="BI1060" s="63">
        <v>45</v>
      </c>
      <c r="BJ1060" s="70"/>
      <c r="BK1060" s="203">
        <f t="shared" si="47"/>
        <v>-36</v>
      </c>
      <c r="BL1060" s="63"/>
      <c r="BM1060" s="71"/>
      <c r="BN1060" s="71"/>
      <c r="BO1060" s="71"/>
    </row>
    <row r="1061" spans="2:67" ht="18.95" customHeight="1">
      <c r="B1061" s="51" t="s">
        <v>236</v>
      </c>
      <c r="C1061" s="52" t="s">
        <v>1072</v>
      </c>
      <c r="D1061" s="53" t="s">
        <v>236</v>
      </c>
      <c r="E1061" s="208" t="s">
        <v>1151</v>
      </c>
      <c r="F1061" s="66"/>
      <c r="G1061" s="66"/>
      <c r="H1061" s="66"/>
      <c r="I1061" s="66"/>
      <c r="J1061" s="66"/>
      <c r="K1061" s="66"/>
      <c r="L1061" s="66"/>
      <c r="M1061" s="66"/>
      <c r="N1061" s="67"/>
      <c r="O1061" s="66"/>
      <c r="P1061" s="66"/>
      <c r="Q1061" s="66"/>
      <c r="R1061" s="66">
        <v>45</v>
      </c>
      <c r="S1061" s="66"/>
      <c r="T1061" s="66"/>
      <c r="U1061" s="66"/>
      <c r="V1061" s="66"/>
      <c r="W1061" s="66"/>
      <c r="X1061" s="66"/>
      <c r="Y1061" s="66"/>
      <c r="Z1061" s="66"/>
      <c r="AA1061" s="66"/>
      <c r="AB1061" s="66"/>
      <c r="AC1061" s="66"/>
      <c r="AD1061" s="66"/>
      <c r="AE1061" s="66"/>
      <c r="AF1061" s="66"/>
      <c r="AG1061" s="66"/>
      <c r="AH1061" s="66"/>
      <c r="AI1061" s="66"/>
      <c r="AJ1061" s="66"/>
      <c r="AK1061" s="66"/>
      <c r="AL1061" s="66"/>
      <c r="AM1061" s="66"/>
      <c r="AN1061" s="66"/>
      <c r="AO1061" s="66"/>
      <c r="AP1061" s="66"/>
      <c r="AQ1061" s="66"/>
      <c r="AR1061" s="68"/>
      <c r="AS1061" s="66"/>
      <c r="AT1061" s="66"/>
      <c r="AU1061" s="66"/>
      <c r="AV1061" s="69"/>
      <c r="AW1061" s="69"/>
      <c r="AX1061" s="69"/>
      <c r="AY1061" s="69"/>
      <c r="AZ1061" s="69"/>
      <c r="BA1061" s="69"/>
      <c r="BB1061" s="69"/>
      <c r="BC1061" s="69"/>
      <c r="BD1061" s="69"/>
      <c r="BE1061" s="69"/>
      <c r="BF1061" s="55"/>
      <c r="BG1061" s="70"/>
      <c r="BH1061" s="63">
        <f t="shared" si="46"/>
        <v>45</v>
      </c>
      <c r="BI1061" s="63">
        <v>230</v>
      </c>
      <c r="BJ1061" s="70"/>
      <c r="BK1061" s="203">
        <f t="shared" si="47"/>
        <v>-185</v>
      </c>
      <c r="BL1061" s="63"/>
      <c r="BM1061" s="71"/>
      <c r="BN1061" s="71"/>
      <c r="BO1061" s="71"/>
    </row>
    <row r="1062" spans="2:67" ht="18.95" customHeight="1">
      <c r="B1062" s="51" t="s">
        <v>238</v>
      </c>
      <c r="C1062" s="52" t="s">
        <v>1072</v>
      </c>
      <c r="D1062" s="53" t="s">
        <v>238</v>
      </c>
      <c r="E1062" s="208" t="s">
        <v>1152</v>
      </c>
      <c r="F1062" s="66"/>
      <c r="G1062" s="66"/>
      <c r="H1062" s="66"/>
      <c r="I1062" s="66"/>
      <c r="J1062" s="66"/>
      <c r="K1062" s="66"/>
      <c r="L1062" s="66"/>
      <c r="M1062" s="66"/>
      <c r="N1062" s="67"/>
      <c r="O1062" s="66"/>
      <c r="P1062" s="66"/>
      <c r="Q1062" s="66"/>
      <c r="R1062" s="66">
        <v>100</v>
      </c>
      <c r="S1062" s="66"/>
      <c r="T1062" s="66"/>
      <c r="U1062" s="66"/>
      <c r="V1062" s="66"/>
      <c r="W1062" s="66"/>
      <c r="X1062" s="66"/>
      <c r="Y1062" s="66"/>
      <c r="Z1062" s="66"/>
      <c r="AA1062" s="66"/>
      <c r="AB1062" s="66"/>
      <c r="AC1062" s="66"/>
      <c r="AD1062" s="66"/>
      <c r="AE1062" s="66"/>
      <c r="AF1062" s="66"/>
      <c r="AG1062" s="66"/>
      <c r="AH1062" s="66"/>
      <c r="AI1062" s="66"/>
      <c r="AJ1062" s="66"/>
      <c r="AK1062" s="66"/>
      <c r="AL1062" s="66"/>
      <c r="AM1062" s="66"/>
      <c r="AN1062" s="66"/>
      <c r="AO1062" s="66"/>
      <c r="AP1062" s="66"/>
      <c r="AQ1062" s="66"/>
      <c r="AR1062" s="68"/>
      <c r="AS1062" s="66"/>
      <c r="AT1062" s="66"/>
      <c r="AU1062" s="66"/>
      <c r="AV1062" s="69"/>
      <c r="AW1062" s="69"/>
      <c r="AX1062" s="69"/>
      <c r="AY1062" s="69"/>
      <c r="AZ1062" s="69"/>
      <c r="BA1062" s="69"/>
      <c r="BB1062" s="69"/>
      <c r="BC1062" s="69"/>
      <c r="BD1062" s="69"/>
      <c r="BE1062" s="69"/>
      <c r="BF1062" s="55"/>
      <c r="BG1062" s="70"/>
      <c r="BH1062" s="63">
        <f t="shared" si="46"/>
        <v>100</v>
      </c>
      <c r="BI1062" s="63">
        <v>230</v>
      </c>
      <c r="BJ1062" s="70"/>
      <c r="BK1062" s="203">
        <f t="shared" si="47"/>
        <v>-130</v>
      </c>
      <c r="BL1062" s="63"/>
      <c r="BM1062" s="71"/>
      <c r="BN1062" s="71"/>
      <c r="BO1062" s="71"/>
    </row>
    <row r="1063" spans="2:67" ht="18.95" customHeight="1">
      <c r="B1063" s="51" t="s">
        <v>240</v>
      </c>
      <c r="C1063" s="52" t="s">
        <v>1072</v>
      </c>
      <c r="D1063" s="53" t="s">
        <v>240</v>
      </c>
      <c r="E1063" s="208" t="s">
        <v>1153</v>
      </c>
      <c r="F1063" s="66"/>
      <c r="G1063" s="66"/>
      <c r="H1063" s="66"/>
      <c r="I1063" s="66"/>
      <c r="J1063" s="66"/>
      <c r="K1063" s="66"/>
      <c r="L1063" s="66"/>
      <c r="M1063" s="66"/>
      <c r="N1063" s="67"/>
      <c r="O1063" s="66"/>
      <c r="P1063" s="66"/>
      <c r="Q1063" s="66"/>
      <c r="R1063" s="66">
        <v>52</v>
      </c>
      <c r="S1063" s="66"/>
      <c r="T1063" s="66"/>
      <c r="U1063" s="66"/>
      <c r="V1063" s="66"/>
      <c r="W1063" s="66"/>
      <c r="X1063" s="66"/>
      <c r="Y1063" s="66"/>
      <c r="Z1063" s="66"/>
      <c r="AA1063" s="66"/>
      <c r="AB1063" s="66"/>
      <c r="AC1063" s="66"/>
      <c r="AD1063" s="66"/>
      <c r="AE1063" s="66"/>
      <c r="AF1063" s="66"/>
      <c r="AG1063" s="66"/>
      <c r="AH1063" s="66"/>
      <c r="AI1063" s="66"/>
      <c r="AJ1063" s="66"/>
      <c r="AK1063" s="66"/>
      <c r="AL1063" s="66"/>
      <c r="AM1063" s="66"/>
      <c r="AN1063" s="66"/>
      <c r="AO1063" s="66"/>
      <c r="AP1063" s="66"/>
      <c r="AQ1063" s="66"/>
      <c r="AR1063" s="68"/>
      <c r="AS1063" s="66"/>
      <c r="AT1063" s="66"/>
      <c r="AU1063" s="66"/>
      <c r="AV1063" s="69"/>
      <c r="AW1063" s="69"/>
      <c r="AX1063" s="69"/>
      <c r="AY1063" s="69"/>
      <c r="AZ1063" s="69"/>
      <c r="BA1063" s="69"/>
      <c r="BB1063" s="69"/>
      <c r="BC1063" s="69"/>
      <c r="BD1063" s="69"/>
      <c r="BE1063" s="69"/>
      <c r="BF1063" s="55"/>
      <c r="BG1063" s="70"/>
      <c r="BH1063" s="63">
        <f t="shared" si="46"/>
        <v>52</v>
      </c>
      <c r="BI1063" s="63">
        <v>230</v>
      </c>
      <c r="BJ1063" s="70"/>
      <c r="BK1063" s="203">
        <f t="shared" si="47"/>
        <v>-178</v>
      </c>
      <c r="BL1063" s="63"/>
      <c r="BM1063" s="71"/>
      <c r="BN1063" s="71"/>
      <c r="BO1063" s="71"/>
    </row>
    <row r="1064" spans="2:67" ht="18.75" customHeight="1">
      <c r="B1064" s="51" t="s">
        <v>242</v>
      </c>
      <c r="C1064" s="52" t="s">
        <v>1072</v>
      </c>
      <c r="D1064" s="53" t="s">
        <v>242</v>
      </c>
      <c r="E1064" s="208" t="s">
        <v>1154</v>
      </c>
      <c r="F1064" s="66"/>
      <c r="G1064" s="66"/>
      <c r="H1064" s="66"/>
      <c r="I1064" s="66"/>
      <c r="J1064" s="66"/>
      <c r="K1064" s="66"/>
      <c r="L1064" s="66"/>
      <c r="M1064" s="66"/>
      <c r="N1064" s="67"/>
      <c r="O1064" s="66"/>
      <c r="P1064" s="66"/>
      <c r="Q1064" s="66"/>
      <c r="R1064" s="66">
        <v>166</v>
      </c>
      <c r="S1064" s="66"/>
      <c r="T1064" s="66"/>
      <c r="U1064" s="66"/>
      <c r="V1064" s="66"/>
      <c r="W1064" s="66"/>
      <c r="X1064" s="66"/>
      <c r="Y1064" s="66"/>
      <c r="Z1064" s="66"/>
      <c r="AA1064" s="66"/>
      <c r="AB1064" s="66"/>
      <c r="AC1064" s="66"/>
      <c r="AD1064" s="66"/>
      <c r="AE1064" s="66"/>
      <c r="AF1064" s="66"/>
      <c r="AG1064" s="66"/>
      <c r="AH1064" s="66"/>
      <c r="AI1064" s="66"/>
      <c r="AJ1064" s="66"/>
      <c r="AK1064" s="66"/>
      <c r="AL1064" s="66"/>
      <c r="AM1064" s="66"/>
      <c r="AN1064" s="66"/>
      <c r="AO1064" s="66"/>
      <c r="AP1064" s="66"/>
      <c r="AQ1064" s="66"/>
      <c r="AR1064" s="68"/>
      <c r="AS1064" s="66"/>
      <c r="AT1064" s="66"/>
      <c r="AU1064" s="66"/>
      <c r="AV1064" s="69"/>
      <c r="AW1064" s="69"/>
      <c r="AX1064" s="69"/>
      <c r="AY1064" s="69"/>
      <c r="AZ1064" s="69"/>
      <c r="BA1064" s="69"/>
      <c r="BB1064" s="69"/>
      <c r="BC1064" s="69"/>
      <c r="BD1064" s="69"/>
      <c r="BE1064" s="69"/>
      <c r="BF1064" s="55"/>
      <c r="BG1064" s="70"/>
      <c r="BH1064" s="63">
        <f t="shared" si="46"/>
        <v>166</v>
      </c>
      <c r="BI1064" s="63">
        <v>230</v>
      </c>
      <c r="BJ1064" s="70"/>
      <c r="BK1064" s="203">
        <f t="shared" si="47"/>
        <v>-64</v>
      </c>
      <c r="BL1064" s="63"/>
      <c r="BM1064" s="71"/>
      <c r="BN1064" s="71"/>
      <c r="BO1064" s="71"/>
    </row>
    <row r="1065" spans="2:67" ht="18.75" customHeight="1">
      <c r="B1065" s="51" t="s">
        <v>244</v>
      </c>
      <c r="C1065" s="52" t="s">
        <v>1072</v>
      </c>
      <c r="D1065" s="53" t="s">
        <v>244</v>
      </c>
      <c r="E1065" s="54" t="s">
        <v>1155</v>
      </c>
      <c r="F1065" s="66"/>
      <c r="G1065" s="66"/>
      <c r="H1065" s="66"/>
      <c r="I1065" s="66"/>
      <c r="J1065" s="66"/>
      <c r="K1065" s="66"/>
      <c r="L1065" s="66"/>
      <c r="M1065" s="66"/>
      <c r="N1065" s="67"/>
      <c r="O1065" s="66"/>
      <c r="P1065" s="66"/>
      <c r="Q1065" s="66"/>
      <c r="R1065" s="66">
        <v>0</v>
      </c>
      <c r="S1065" s="66"/>
      <c r="T1065" s="66"/>
      <c r="U1065" s="66"/>
      <c r="V1065" s="66"/>
      <c r="W1065" s="66"/>
      <c r="X1065" s="66"/>
      <c r="Y1065" s="66"/>
      <c r="Z1065" s="66"/>
      <c r="AA1065" s="66"/>
      <c r="AB1065" s="66"/>
      <c r="AC1065" s="66"/>
      <c r="AD1065" s="66"/>
      <c r="AE1065" s="66"/>
      <c r="AF1065" s="66"/>
      <c r="AG1065" s="66"/>
      <c r="AH1065" s="66"/>
      <c r="AI1065" s="66"/>
      <c r="AJ1065" s="66"/>
      <c r="AK1065" s="66"/>
      <c r="AL1065" s="66"/>
      <c r="AM1065" s="66"/>
      <c r="AN1065" s="66"/>
      <c r="AO1065" s="66"/>
      <c r="AP1065" s="66"/>
      <c r="AQ1065" s="66"/>
      <c r="AR1065" s="68"/>
      <c r="AS1065" s="66"/>
      <c r="AT1065" s="66"/>
      <c r="AU1065" s="66"/>
      <c r="AV1065" s="69"/>
      <c r="AW1065" s="69"/>
      <c r="AX1065" s="69"/>
      <c r="AY1065" s="69"/>
      <c r="AZ1065" s="69"/>
      <c r="BA1065" s="69"/>
      <c r="BB1065" s="69"/>
      <c r="BC1065" s="69"/>
      <c r="BD1065" s="69"/>
      <c r="BE1065" s="69"/>
      <c r="BF1065" s="55"/>
      <c r="BG1065" s="70"/>
      <c r="BH1065" s="63">
        <f t="shared" si="46"/>
        <v>0</v>
      </c>
      <c r="BI1065" s="63">
        <v>210</v>
      </c>
      <c r="BJ1065" s="70"/>
      <c r="BK1065" s="203">
        <f t="shared" si="47"/>
        <v>-210</v>
      </c>
      <c r="BL1065" s="63"/>
      <c r="BM1065" s="71"/>
      <c r="BN1065" s="71"/>
      <c r="BO1065" s="71"/>
    </row>
    <row r="1066" spans="2:67" ht="18.95" customHeight="1">
      <c r="B1066" s="51" t="s">
        <v>246</v>
      </c>
      <c r="C1066" s="52" t="s">
        <v>1072</v>
      </c>
      <c r="D1066" s="53" t="s">
        <v>246</v>
      </c>
      <c r="E1066" s="54" t="s">
        <v>1156</v>
      </c>
      <c r="F1066" s="66"/>
      <c r="G1066" s="66"/>
      <c r="H1066" s="66"/>
      <c r="I1066" s="66"/>
      <c r="J1066" s="66"/>
      <c r="K1066" s="66"/>
      <c r="L1066" s="66"/>
      <c r="M1066" s="66"/>
      <c r="N1066" s="67"/>
      <c r="O1066" s="66"/>
      <c r="P1066" s="66"/>
      <c r="Q1066" s="66"/>
      <c r="R1066" s="66">
        <v>12</v>
      </c>
      <c r="S1066" s="66"/>
      <c r="T1066" s="66"/>
      <c r="U1066" s="66"/>
      <c r="V1066" s="66"/>
      <c r="W1066" s="66"/>
      <c r="X1066" s="66"/>
      <c r="Y1066" s="66"/>
      <c r="Z1066" s="66"/>
      <c r="AA1066" s="66"/>
      <c r="AB1066" s="66"/>
      <c r="AC1066" s="66"/>
      <c r="AD1066" s="66"/>
      <c r="AE1066" s="66"/>
      <c r="AF1066" s="66"/>
      <c r="AG1066" s="66"/>
      <c r="AH1066" s="66"/>
      <c r="AI1066" s="66"/>
      <c r="AJ1066" s="66"/>
      <c r="AK1066" s="66"/>
      <c r="AL1066" s="66"/>
      <c r="AM1066" s="66"/>
      <c r="AN1066" s="66"/>
      <c r="AO1066" s="66"/>
      <c r="AP1066" s="66"/>
      <c r="AQ1066" s="66"/>
      <c r="AR1066" s="68"/>
      <c r="AS1066" s="66"/>
      <c r="AT1066" s="66"/>
      <c r="AU1066" s="66"/>
      <c r="AV1066" s="69"/>
      <c r="AW1066" s="69"/>
      <c r="AX1066" s="69"/>
      <c r="AY1066" s="69"/>
      <c r="AZ1066" s="69"/>
      <c r="BA1066" s="69"/>
      <c r="BB1066" s="69"/>
      <c r="BC1066" s="69"/>
      <c r="BD1066" s="69"/>
      <c r="BE1066" s="69"/>
      <c r="BF1066" s="55"/>
      <c r="BG1066" s="70"/>
      <c r="BH1066" s="63">
        <f t="shared" si="46"/>
        <v>12</v>
      </c>
      <c r="BI1066" s="63">
        <v>55</v>
      </c>
      <c r="BJ1066" s="70"/>
      <c r="BK1066" s="203">
        <f t="shared" si="47"/>
        <v>-43</v>
      </c>
      <c r="BL1066" s="63"/>
      <c r="BM1066" s="71"/>
      <c r="BN1066" s="71"/>
      <c r="BO1066" s="71"/>
    </row>
    <row r="1067" spans="2:67" ht="18.75" customHeight="1">
      <c r="B1067" s="51" t="s">
        <v>248</v>
      </c>
      <c r="C1067" s="52" t="s">
        <v>1072</v>
      </c>
      <c r="D1067" s="53" t="s">
        <v>248</v>
      </c>
      <c r="E1067" s="54" t="s">
        <v>1157</v>
      </c>
      <c r="F1067" s="66"/>
      <c r="G1067" s="66"/>
      <c r="H1067" s="66"/>
      <c r="I1067" s="66"/>
      <c r="J1067" s="66"/>
      <c r="K1067" s="66"/>
      <c r="L1067" s="66"/>
      <c r="M1067" s="66"/>
      <c r="N1067" s="67"/>
      <c r="O1067" s="66"/>
      <c r="P1067" s="66"/>
      <c r="Q1067" s="66"/>
      <c r="R1067" s="66">
        <v>48</v>
      </c>
      <c r="S1067" s="66"/>
      <c r="T1067" s="66"/>
      <c r="U1067" s="66"/>
      <c r="V1067" s="66"/>
      <c r="W1067" s="66"/>
      <c r="X1067" s="66"/>
      <c r="Y1067" s="66"/>
      <c r="Z1067" s="66"/>
      <c r="AA1067" s="66"/>
      <c r="AB1067" s="66"/>
      <c r="AC1067" s="66"/>
      <c r="AD1067" s="66"/>
      <c r="AE1067" s="66"/>
      <c r="AF1067" s="66"/>
      <c r="AG1067" s="66"/>
      <c r="AH1067" s="66"/>
      <c r="AI1067" s="66"/>
      <c r="AJ1067" s="66"/>
      <c r="AK1067" s="66"/>
      <c r="AL1067" s="66"/>
      <c r="AM1067" s="66"/>
      <c r="AN1067" s="66"/>
      <c r="AO1067" s="66"/>
      <c r="AP1067" s="66"/>
      <c r="AQ1067" s="66"/>
      <c r="AR1067" s="68"/>
      <c r="AS1067" s="66"/>
      <c r="AT1067" s="66"/>
      <c r="AU1067" s="66"/>
      <c r="AV1067" s="69"/>
      <c r="AW1067" s="69"/>
      <c r="AX1067" s="69"/>
      <c r="AY1067" s="69"/>
      <c r="AZ1067" s="69"/>
      <c r="BA1067" s="69"/>
      <c r="BB1067" s="69"/>
      <c r="BC1067" s="69"/>
      <c r="BD1067" s="69"/>
      <c r="BE1067" s="69"/>
      <c r="BF1067" s="55"/>
      <c r="BG1067" s="70"/>
      <c r="BH1067" s="63">
        <f t="shared" si="46"/>
        <v>48</v>
      </c>
      <c r="BI1067" s="63">
        <v>358</v>
      </c>
      <c r="BJ1067" s="70"/>
      <c r="BK1067" s="203">
        <f t="shared" si="47"/>
        <v>-310</v>
      </c>
      <c r="BL1067" s="63"/>
      <c r="BM1067" s="71"/>
      <c r="BN1067" s="71"/>
      <c r="BO1067" s="71"/>
    </row>
    <row r="1068" spans="2:67" ht="18.95" customHeight="1">
      <c r="B1068" s="51" t="s">
        <v>250</v>
      </c>
      <c r="C1068" s="52" t="s">
        <v>1072</v>
      </c>
      <c r="D1068" s="53" t="s">
        <v>250</v>
      </c>
      <c r="E1068" s="54" t="s">
        <v>1158</v>
      </c>
      <c r="F1068" s="66"/>
      <c r="G1068" s="66"/>
      <c r="H1068" s="66"/>
      <c r="I1068" s="66"/>
      <c r="J1068" s="66"/>
      <c r="K1068" s="66"/>
      <c r="L1068" s="66"/>
      <c r="M1068" s="66"/>
      <c r="N1068" s="67"/>
      <c r="O1068" s="66"/>
      <c r="P1068" s="66"/>
      <c r="Q1068" s="66"/>
      <c r="R1068" s="66">
        <v>0</v>
      </c>
      <c r="S1068" s="66"/>
      <c r="T1068" s="66"/>
      <c r="U1068" s="66"/>
      <c r="V1068" s="66"/>
      <c r="W1068" s="66"/>
      <c r="X1068" s="66"/>
      <c r="Y1068" s="66"/>
      <c r="Z1068" s="66"/>
      <c r="AA1068" s="66"/>
      <c r="AB1068" s="66"/>
      <c r="AC1068" s="66"/>
      <c r="AD1068" s="66"/>
      <c r="AE1068" s="66"/>
      <c r="AF1068" s="66"/>
      <c r="AG1068" s="66"/>
      <c r="AH1068" s="66"/>
      <c r="AI1068" s="66"/>
      <c r="AJ1068" s="66"/>
      <c r="AK1068" s="66"/>
      <c r="AL1068" s="66"/>
      <c r="AM1068" s="66"/>
      <c r="AN1068" s="66"/>
      <c r="AO1068" s="66"/>
      <c r="AP1068" s="66"/>
      <c r="AQ1068" s="66"/>
      <c r="AR1068" s="68"/>
      <c r="AS1068" s="66"/>
      <c r="AT1068" s="66"/>
      <c r="AU1068" s="66"/>
      <c r="AV1068" s="69"/>
      <c r="AW1068" s="69"/>
      <c r="AX1068" s="69"/>
      <c r="AY1068" s="69"/>
      <c r="AZ1068" s="69"/>
      <c r="BA1068" s="69"/>
      <c r="BB1068" s="69"/>
      <c r="BC1068" s="69"/>
      <c r="BD1068" s="69"/>
      <c r="BE1068" s="69"/>
      <c r="BF1068" s="55"/>
      <c r="BG1068" s="70"/>
      <c r="BH1068" s="63">
        <f t="shared" si="46"/>
        <v>0</v>
      </c>
      <c r="BI1068" s="63">
        <v>370</v>
      </c>
      <c r="BJ1068" s="70"/>
      <c r="BK1068" s="203">
        <f t="shared" si="47"/>
        <v>-370</v>
      </c>
      <c r="BL1068" s="63"/>
      <c r="BM1068" s="71"/>
      <c r="BN1068" s="71"/>
      <c r="BO1068" s="71"/>
    </row>
    <row r="1069" spans="2:67" ht="18.75" customHeight="1">
      <c r="B1069" s="51" t="s">
        <v>252</v>
      </c>
      <c r="C1069" s="52" t="s">
        <v>1072</v>
      </c>
      <c r="D1069" s="53" t="s">
        <v>252</v>
      </c>
      <c r="E1069" s="54" t="s">
        <v>1159</v>
      </c>
      <c r="F1069" s="66"/>
      <c r="G1069" s="66"/>
      <c r="H1069" s="66"/>
      <c r="I1069" s="66"/>
      <c r="J1069" s="66"/>
      <c r="K1069" s="66"/>
      <c r="L1069" s="66"/>
      <c r="M1069" s="66"/>
      <c r="N1069" s="67"/>
      <c r="O1069" s="66"/>
      <c r="P1069" s="66"/>
      <c r="Q1069" s="66"/>
      <c r="R1069" s="66">
        <v>0</v>
      </c>
      <c r="S1069" s="66"/>
      <c r="T1069" s="66"/>
      <c r="U1069" s="66"/>
      <c r="V1069" s="66"/>
      <c r="W1069" s="66"/>
      <c r="X1069" s="66"/>
      <c r="Y1069" s="66"/>
      <c r="Z1069" s="66"/>
      <c r="AA1069" s="66"/>
      <c r="AB1069" s="66"/>
      <c r="AC1069" s="66"/>
      <c r="AD1069" s="66"/>
      <c r="AE1069" s="66"/>
      <c r="AF1069" s="66"/>
      <c r="AG1069" s="66"/>
      <c r="AH1069" s="66"/>
      <c r="AI1069" s="66"/>
      <c r="AJ1069" s="66"/>
      <c r="AK1069" s="66"/>
      <c r="AL1069" s="75"/>
      <c r="AM1069" s="66"/>
      <c r="AN1069" s="66"/>
      <c r="AO1069" s="66"/>
      <c r="AP1069" s="66"/>
      <c r="AQ1069" s="66"/>
      <c r="AR1069" s="68"/>
      <c r="AS1069" s="66"/>
      <c r="AT1069" s="66"/>
      <c r="AU1069" s="66"/>
      <c r="AV1069" s="69"/>
      <c r="AW1069" s="69"/>
      <c r="AX1069" s="69"/>
      <c r="AY1069" s="69"/>
      <c r="AZ1069" s="69"/>
      <c r="BA1069" s="69"/>
      <c r="BB1069" s="69"/>
      <c r="BC1069" s="69"/>
      <c r="BD1069" s="69"/>
      <c r="BE1069" s="69"/>
      <c r="BF1069" s="55"/>
      <c r="BG1069" s="70"/>
      <c r="BH1069" s="63">
        <f t="shared" si="46"/>
        <v>0</v>
      </c>
      <c r="BI1069" s="63">
        <v>250</v>
      </c>
      <c r="BJ1069" s="70"/>
      <c r="BK1069" s="203">
        <f t="shared" si="47"/>
        <v>-250</v>
      </c>
      <c r="BL1069" s="63"/>
      <c r="BM1069" s="71"/>
      <c r="BN1069" s="71"/>
      <c r="BO1069" s="71"/>
    </row>
    <row r="1070" spans="2:67" ht="18.75" customHeight="1">
      <c r="B1070" s="51" t="s">
        <v>254</v>
      </c>
      <c r="C1070" s="52" t="s">
        <v>1072</v>
      </c>
      <c r="D1070" s="53" t="s">
        <v>254</v>
      </c>
      <c r="E1070" s="54" t="s">
        <v>1160</v>
      </c>
      <c r="F1070" s="66"/>
      <c r="G1070" s="66"/>
      <c r="H1070" s="66"/>
      <c r="I1070" s="66"/>
      <c r="J1070" s="66"/>
      <c r="K1070" s="66"/>
      <c r="L1070" s="66"/>
      <c r="M1070" s="66"/>
      <c r="N1070" s="67"/>
      <c r="O1070" s="66"/>
      <c r="P1070" s="66"/>
      <c r="Q1070" s="66"/>
      <c r="R1070" s="66">
        <v>0</v>
      </c>
      <c r="S1070" s="66"/>
      <c r="T1070" s="66"/>
      <c r="U1070" s="66"/>
      <c r="V1070" s="66"/>
      <c r="W1070" s="66"/>
      <c r="X1070" s="66"/>
      <c r="Y1070" s="66"/>
      <c r="Z1070" s="66"/>
      <c r="AA1070" s="66"/>
      <c r="AB1070" s="66"/>
      <c r="AC1070" s="66"/>
      <c r="AD1070" s="66"/>
      <c r="AE1070" s="66"/>
      <c r="AF1070" s="66"/>
      <c r="AG1070" s="66"/>
      <c r="AH1070" s="66"/>
      <c r="AI1070" s="66"/>
      <c r="AJ1070" s="66"/>
      <c r="AK1070" s="66"/>
      <c r="AL1070" s="75"/>
      <c r="AM1070" s="66"/>
      <c r="AN1070" s="66"/>
      <c r="AO1070" s="66"/>
      <c r="AP1070" s="66"/>
      <c r="AQ1070" s="66"/>
      <c r="AR1070" s="68"/>
      <c r="AS1070" s="66"/>
      <c r="AT1070" s="66"/>
      <c r="AU1070" s="66"/>
      <c r="AV1070" s="69"/>
      <c r="AW1070" s="69"/>
      <c r="AX1070" s="69"/>
      <c r="AY1070" s="69"/>
      <c r="AZ1070" s="69"/>
      <c r="BA1070" s="69"/>
      <c r="BB1070" s="69"/>
      <c r="BC1070" s="69"/>
      <c r="BD1070" s="69"/>
      <c r="BE1070" s="69"/>
      <c r="BF1070" s="55"/>
      <c r="BG1070" s="70"/>
      <c r="BH1070" s="63">
        <f t="shared" si="46"/>
        <v>0</v>
      </c>
      <c r="BI1070" s="63">
        <v>40</v>
      </c>
      <c r="BJ1070" s="70"/>
      <c r="BK1070" s="203">
        <f t="shared" si="47"/>
        <v>-40</v>
      </c>
      <c r="BL1070" s="63"/>
      <c r="BM1070" s="71"/>
      <c r="BN1070" s="71"/>
      <c r="BO1070" s="71"/>
    </row>
    <row r="1071" spans="2:67" ht="18.75" customHeight="1">
      <c r="B1071" s="51" t="s">
        <v>256</v>
      </c>
      <c r="C1071" s="52" t="s">
        <v>1072</v>
      </c>
      <c r="D1071" s="53" t="s">
        <v>256</v>
      </c>
      <c r="E1071" s="54" t="s">
        <v>1161</v>
      </c>
      <c r="F1071" s="66"/>
      <c r="G1071" s="66"/>
      <c r="H1071" s="66"/>
      <c r="I1071" s="66"/>
      <c r="J1071" s="66"/>
      <c r="K1071" s="66"/>
      <c r="L1071" s="66"/>
      <c r="M1071" s="66"/>
      <c r="N1071" s="67"/>
      <c r="O1071" s="66"/>
      <c r="P1071" s="66"/>
      <c r="Q1071" s="66"/>
      <c r="R1071" s="66">
        <v>0</v>
      </c>
      <c r="S1071" s="66"/>
      <c r="T1071" s="66"/>
      <c r="U1071" s="66"/>
      <c r="V1071" s="66"/>
      <c r="W1071" s="66"/>
      <c r="X1071" s="66"/>
      <c r="Y1071" s="66"/>
      <c r="Z1071" s="66"/>
      <c r="AA1071" s="66"/>
      <c r="AB1071" s="66"/>
      <c r="AC1071" s="66"/>
      <c r="AD1071" s="66"/>
      <c r="AE1071" s="66"/>
      <c r="AF1071" s="66"/>
      <c r="AG1071" s="66"/>
      <c r="AH1071" s="66"/>
      <c r="AI1071" s="66"/>
      <c r="AJ1071" s="66"/>
      <c r="AK1071" s="66"/>
      <c r="AL1071" s="66"/>
      <c r="AM1071" s="66"/>
      <c r="AN1071" s="66"/>
      <c r="AO1071" s="66"/>
      <c r="AP1071" s="66"/>
      <c r="AQ1071" s="66"/>
      <c r="AR1071" s="68"/>
      <c r="AS1071" s="66"/>
      <c r="AT1071" s="66"/>
      <c r="AU1071" s="66"/>
      <c r="AV1071" s="69"/>
      <c r="AW1071" s="69"/>
      <c r="AX1071" s="69"/>
      <c r="AY1071" s="69"/>
      <c r="AZ1071" s="69"/>
      <c r="BA1071" s="69"/>
      <c r="BB1071" s="69"/>
      <c r="BC1071" s="69"/>
      <c r="BD1071" s="69"/>
      <c r="BE1071" s="69"/>
      <c r="BF1071" s="55"/>
      <c r="BG1071" s="70"/>
      <c r="BH1071" s="63">
        <f t="shared" si="46"/>
        <v>0</v>
      </c>
      <c r="BI1071" s="63">
        <v>40</v>
      </c>
      <c r="BJ1071" s="70"/>
      <c r="BK1071" s="203">
        <f t="shared" si="47"/>
        <v>-40</v>
      </c>
      <c r="BL1071" s="63"/>
      <c r="BM1071" s="71"/>
      <c r="BN1071" s="65"/>
      <c r="BO1071" s="65"/>
    </row>
    <row r="1072" spans="2:67" ht="18.95" customHeight="1">
      <c r="B1072" s="51" t="s">
        <v>258</v>
      </c>
      <c r="C1072" s="52" t="s">
        <v>1072</v>
      </c>
      <c r="D1072" s="53" t="s">
        <v>258</v>
      </c>
      <c r="E1072" s="54" t="s">
        <v>1162</v>
      </c>
      <c r="F1072" s="55"/>
      <c r="G1072" s="66"/>
      <c r="H1072" s="66"/>
      <c r="I1072" s="66"/>
      <c r="J1072" s="66"/>
      <c r="K1072" s="66"/>
      <c r="L1072" s="66"/>
      <c r="M1072" s="66"/>
      <c r="N1072" s="67"/>
      <c r="O1072" s="66"/>
      <c r="P1072" s="66"/>
      <c r="Q1072" s="66"/>
      <c r="R1072" s="66">
        <v>0</v>
      </c>
      <c r="S1072" s="66"/>
      <c r="T1072" s="66"/>
      <c r="U1072" s="66"/>
      <c r="V1072" s="66"/>
      <c r="W1072" s="66"/>
      <c r="X1072" s="66"/>
      <c r="Y1072" s="66"/>
      <c r="Z1072" s="66"/>
      <c r="AA1072" s="66"/>
      <c r="AB1072" s="66"/>
      <c r="AC1072" s="66"/>
      <c r="AD1072" s="66"/>
      <c r="AE1072" s="66"/>
      <c r="AF1072" s="66"/>
      <c r="AG1072" s="66"/>
      <c r="AH1072" s="66"/>
      <c r="AI1072" s="66"/>
      <c r="AJ1072" s="66"/>
      <c r="AK1072" s="66"/>
      <c r="AL1072" s="75"/>
      <c r="AM1072" s="66"/>
      <c r="AN1072" s="66"/>
      <c r="AO1072" s="66"/>
      <c r="AP1072" s="66"/>
      <c r="AQ1072" s="66"/>
      <c r="AR1072" s="68"/>
      <c r="AS1072" s="66"/>
      <c r="AT1072" s="66"/>
      <c r="AU1072" s="66"/>
      <c r="AV1072" s="69"/>
      <c r="AW1072" s="69"/>
      <c r="AX1072" s="69"/>
      <c r="AY1072" s="69"/>
      <c r="AZ1072" s="69"/>
      <c r="BA1072" s="69"/>
      <c r="BB1072" s="69"/>
      <c r="BC1072" s="69"/>
      <c r="BD1072" s="69"/>
      <c r="BE1072" s="69"/>
      <c r="BF1072" s="55"/>
      <c r="BG1072" s="70"/>
      <c r="BH1072" s="63">
        <f t="shared" si="46"/>
        <v>0</v>
      </c>
      <c r="BI1072" s="63">
        <v>50</v>
      </c>
      <c r="BJ1072" s="70"/>
      <c r="BK1072" s="203">
        <f t="shared" si="47"/>
        <v>-50</v>
      </c>
      <c r="BL1072" s="63"/>
      <c r="BM1072" s="71"/>
      <c r="BN1072" s="65"/>
      <c r="BO1072" s="65"/>
    </row>
    <row r="1073" spans="2:67" ht="18.75" customHeight="1">
      <c r="B1073" s="51" t="s">
        <v>260</v>
      </c>
      <c r="C1073" s="52" t="s">
        <v>1072</v>
      </c>
      <c r="D1073" s="53" t="s">
        <v>260</v>
      </c>
      <c r="E1073" s="54" t="s">
        <v>1163</v>
      </c>
      <c r="F1073" s="66"/>
      <c r="G1073" s="66"/>
      <c r="H1073" s="66"/>
      <c r="I1073" s="66"/>
      <c r="J1073" s="66"/>
      <c r="K1073" s="66"/>
      <c r="L1073" s="66"/>
      <c r="M1073" s="66"/>
      <c r="N1073" s="67"/>
      <c r="O1073" s="66"/>
      <c r="P1073" s="66"/>
      <c r="Q1073" s="66"/>
      <c r="R1073" s="66">
        <v>1</v>
      </c>
      <c r="S1073" s="66"/>
      <c r="T1073" s="66"/>
      <c r="U1073" s="66"/>
      <c r="V1073" s="66"/>
      <c r="W1073" s="66"/>
      <c r="X1073" s="66"/>
      <c r="Y1073" s="66"/>
      <c r="Z1073" s="66"/>
      <c r="AA1073" s="66"/>
      <c r="AB1073" s="66"/>
      <c r="AC1073" s="66"/>
      <c r="AD1073" s="66"/>
      <c r="AE1073" s="66"/>
      <c r="AF1073" s="66"/>
      <c r="AG1073" s="66"/>
      <c r="AH1073" s="66"/>
      <c r="AI1073" s="66"/>
      <c r="AJ1073" s="66"/>
      <c r="AK1073" s="66"/>
      <c r="AL1073" s="66"/>
      <c r="AM1073" s="66"/>
      <c r="AN1073" s="66"/>
      <c r="AO1073" s="66"/>
      <c r="AP1073" s="66"/>
      <c r="AQ1073" s="66"/>
      <c r="AR1073" s="68"/>
      <c r="AS1073" s="66"/>
      <c r="AT1073" s="66"/>
      <c r="AU1073" s="66"/>
      <c r="AV1073" s="69"/>
      <c r="AW1073" s="69"/>
      <c r="AX1073" s="69"/>
      <c r="AY1073" s="69"/>
      <c r="AZ1073" s="69"/>
      <c r="BA1073" s="69"/>
      <c r="BB1073" s="69"/>
      <c r="BC1073" s="69"/>
      <c r="BD1073" s="69"/>
      <c r="BE1073" s="69"/>
      <c r="BF1073" s="55"/>
      <c r="BG1073" s="70"/>
      <c r="BH1073" s="63">
        <f t="shared" si="46"/>
        <v>1</v>
      </c>
      <c r="BI1073" s="63">
        <v>1</v>
      </c>
      <c r="BJ1073" s="70"/>
      <c r="BK1073" s="203">
        <f t="shared" si="47"/>
        <v>0</v>
      </c>
      <c r="BL1073" s="63"/>
      <c r="BM1073" s="71"/>
      <c r="BN1073" s="71"/>
      <c r="BO1073" s="71"/>
    </row>
    <row r="1074" spans="2:67" ht="18.95" customHeight="1">
      <c r="B1074" s="51" t="s">
        <v>262</v>
      </c>
      <c r="C1074" s="52" t="s">
        <v>1072</v>
      </c>
      <c r="D1074" s="53" t="s">
        <v>262</v>
      </c>
      <c r="E1074" s="54" t="s">
        <v>1164</v>
      </c>
      <c r="F1074" s="55"/>
      <c r="G1074" s="55"/>
      <c r="H1074" s="55"/>
      <c r="I1074" s="55"/>
      <c r="J1074" s="55"/>
      <c r="K1074" s="55"/>
      <c r="L1074" s="55"/>
      <c r="M1074" s="55"/>
      <c r="N1074" s="56"/>
      <c r="O1074" s="55"/>
      <c r="P1074" s="55"/>
      <c r="Q1074" s="55"/>
      <c r="R1074" s="55">
        <v>1</v>
      </c>
      <c r="S1074" s="55"/>
      <c r="T1074" s="55"/>
      <c r="U1074" s="55"/>
      <c r="V1074" s="55"/>
      <c r="W1074" s="55"/>
      <c r="X1074" s="55"/>
      <c r="Y1074" s="55"/>
      <c r="Z1074" s="55"/>
      <c r="AA1074" s="55"/>
      <c r="AB1074" s="55"/>
      <c r="AC1074" s="55"/>
      <c r="AD1074" s="55"/>
      <c r="AE1074" s="55"/>
      <c r="AF1074" s="55"/>
      <c r="AG1074" s="55"/>
      <c r="AH1074" s="55"/>
      <c r="AI1074" s="55"/>
      <c r="AJ1074" s="55"/>
      <c r="AK1074" s="55"/>
      <c r="AL1074" s="55"/>
      <c r="AM1074" s="55"/>
      <c r="AN1074" s="55"/>
      <c r="AO1074" s="55"/>
      <c r="AP1074" s="55"/>
      <c r="AQ1074" s="55"/>
      <c r="AR1074" s="76"/>
      <c r="AS1074" s="55"/>
      <c r="AT1074" s="55"/>
      <c r="AU1074" s="55"/>
      <c r="AV1074" s="55"/>
      <c r="AW1074" s="55"/>
      <c r="AX1074" s="55"/>
      <c r="AY1074" s="55"/>
      <c r="AZ1074" s="55"/>
      <c r="BA1074" s="55"/>
      <c r="BB1074" s="55"/>
      <c r="BC1074" s="55"/>
      <c r="BD1074" s="55"/>
      <c r="BE1074" s="55"/>
      <c r="BF1074" s="55"/>
      <c r="BG1074" s="70"/>
      <c r="BH1074" s="63">
        <f t="shared" si="46"/>
        <v>1</v>
      </c>
      <c r="BI1074" s="63">
        <v>1</v>
      </c>
      <c r="BJ1074" s="70"/>
      <c r="BK1074" s="203">
        <f t="shared" si="47"/>
        <v>0</v>
      </c>
      <c r="BL1074" s="63"/>
      <c r="BM1074" s="71"/>
      <c r="BN1074" s="65"/>
      <c r="BO1074" s="65"/>
    </row>
    <row r="1087" spans="2:67">
      <c r="B1087" s="2" t="s">
        <v>1</v>
      </c>
      <c r="C1087" s="2"/>
      <c r="D1087" s="2"/>
      <c r="E1087" s="2"/>
      <c r="F1087" s="3"/>
      <c r="G1087" s="4"/>
      <c r="H1087" s="4"/>
      <c r="I1087" s="4"/>
      <c r="J1087" s="4"/>
      <c r="K1087" s="4"/>
      <c r="L1087" s="4"/>
      <c r="M1087" s="4"/>
      <c r="N1087" s="107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5"/>
      <c r="AE1087" s="5"/>
      <c r="AF1087" s="5"/>
      <c r="AG1087" s="5"/>
      <c r="AH1087" s="5"/>
      <c r="AI1087" s="5"/>
      <c r="AJ1087" s="5"/>
      <c r="AK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7"/>
      <c r="BI1087" s="7"/>
      <c r="BJ1087" s="5"/>
      <c r="BK1087" s="5"/>
      <c r="BM1087" s="5"/>
      <c r="BN1087" s="5"/>
      <c r="BO1087" s="5"/>
    </row>
    <row r="1088" spans="2:67" ht="18.75" customHeight="1">
      <c r="B1088" s="2"/>
      <c r="C1088" s="2"/>
      <c r="D1088" s="2"/>
      <c r="E1088" s="2"/>
      <c r="F1088" s="1" t="s">
        <v>0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8"/>
      <c r="AV1088" s="8"/>
      <c r="AW1088" s="8"/>
      <c r="AX1088" s="8"/>
      <c r="AY1088" s="8"/>
      <c r="AZ1088" s="8"/>
      <c r="BA1088" s="8"/>
      <c r="BB1088" s="8"/>
      <c r="BC1088" s="8"/>
      <c r="BD1088" s="8"/>
      <c r="BE1088" s="8"/>
      <c r="BF1088" s="9" t="s">
        <v>1165</v>
      </c>
      <c r="BG1088" s="10"/>
      <c r="BH1088" s="10"/>
      <c r="BI1088" s="10"/>
      <c r="BJ1088" s="10"/>
      <c r="BK1088" s="10"/>
      <c r="BL1088" s="10"/>
      <c r="BM1088" s="10"/>
      <c r="BN1088" s="10"/>
      <c r="BO1088" s="11"/>
    </row>
    <row r="1089" spans="2:67">
      <c r="B1089" s="12"/>
      <c r="C1089" s="12"/>
      <c r="D1089" s="12"/>
      <c r="E1089" s="12"/>
      <c r="F1089" s="13"/>
      <c r="G1089" s="14" t="s">
        <v>1071</v>
      </c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6"/>
      <c r="AM1089" s="15"/>
      <c r="AN1089" s="15"/>
      <c r="AO1089" s="15"/>
      <c r="AP1089" s="15"/>
      <c r="AQ1089" s="15"/>
      <c r="AR1089" s="17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8"/>
      <c r="BM1089" s="15"/>
      <c r="BN1089" s="15"/>
      <c r="BO1089" s="15"/>
    </row>
    <row r="1090" spans="2:67" ht="15">
      <c r="B1090" s="19" t="s">
        <v>4</v>
      </c>
      <c r="C1090" s="20" t="s">
        <v>5</v>
      </c>
      <c r="D1090" s="20"/>
      <c r="E1090" s="205" t="s">
        <v>6</v>
      </c>
      <c r="F1090" s="110" t="s">
        <v>135</v>
      </c>
      <c r="G1090" s="111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  <c r="AA1090" s="111"/>
      <c r="AB1090" s="111"/>
      <c r="AC1090" s="111"/>
      <c r="AD1090" s="111"/>
      <c r="AE1090" s="111"/>
      <c r="AF1090" s="111"/>
      <c r="AG1090" s="111"/>
      <c r="AH1090" s="111"/>
      <c r="AI1090" s="111"/>
      <c r="AJ1090" s="111"/>
      <c r="AK1090" s="111"/>
      <c r="AL1090" s="111"/>
      <c r="AM1090" s="111"/>
      <c r="AN1090" s="111"/>
      <c r="AO1090" s="111"/>
      <c r="AP1090" s="111"/>
      <c r="AQ1090" s="111"/>
      <c r="AR1090" s="111"/>
      <c r="AS1090" s="111"/>
      <c r="AT1090" s="111"/>
      <c r="AU1090" s="111"/>
      <c r="AV1090" s="111"/>
      <c r="AW1090" s="111"/>
      <c r="AX1090" s="111"/>
      <c r="AY1090" s="111"/>
      <c r="AZ1090" s="111"/>
      <c r="BA1090" s="111"/>
      <c r="BB1090" s="111"/>
      <c r="BC1090" s="111"/>
      <c r="BD1090" s="111"/>
      <c r="BE1090" s="111"/>
      <c r="BF1090" s="24" t="s">
        <v>8</v>
      </c>
      <c r="BG1090" s="25"/>
      <c r="BH1090" s="25"/>
      <c r="BI1090" s="26"/>
      <c r="BJ1090" s="31" t="s">
        <v>9</v>
      </c>
      <c r="BK1090" s="32"/>
      <c r="BL1090" s="29"/>
      <c r="BM1090" s="30"/>
      <c r="BN1090" s="31" t="s">
        <v>10</v>
      </c>
      <c r="BO1090" s="32"/>
    </row>
    <row r="1091" spans="2:67" ht="110.1" customHeight="1">
      <c r="B1091" s="33"/>
      <c r="C1091" s="34" t="s">
        <v>11</v>
      </c>
      <c r="D1091" s="35" t="s">
        <v>4</v>
      </c>
      <c r="E1091" s="35" t="s">
        <v>12</v>
      </c>
      <c r="F1091" s="36" t="s">
        <v>13</v>
      </c>
      <c r="G1091" s="36" t="s">
        <v>14</v>
      </c>
      <c r="H1091" s="36" t="s">
        <v>15</v>
      </c>
      <c r="I1091" s="36" t="s">
        <v>16</v>
      </c>
      <c r="J1091" s="36" t="s">
        <v>17</v>
      </c>
      <c r="K1091" s="36" t="s">
        <v>18</v>
      </c>
      <c r="L1091" s="36" t="s">
        <v>19</v>
      </c>
      <c r="M1091" s="36" t="s">
        <v>20</v>
      </c>
      <c r="N1091" s="37" t="s">
        <v>21</v>
      </c>
      <c r="O1091" s="36" t="s">
        <v>22</v>
      </c>
      <c r="P1091" s="36" t="s">
        <v>23</v>
      </c>
      <c r="Q1091" s="36" t="s">
        <v>24</v>
      </c>
      <c r="R1091" s="36" t="s">
        <v>25</v>
      </c>
      <c r="S1091" s="36" t="s">
        <v>26</v>
      </c>
      <c r="T1091" s="36" t="s">
        <v>27</v>
      </c>
      <c r="U1091" s="36" t="s">
        <v>28</v>
      </c>
      <c r="V1091" s="36" t="s">
        <v>29</v>
      </c>
      <c r="W1091" s="36" t="s">
        <v>30</v>
      </c>
      <c r="X1091" s="38" t="s">
        <v>31</v>
      </c>
      <c r="Y1091" s="36" t="s">
        <v>32</v>
      </c>
      <c r="Z1091" s="36" t="s">
        <v>33</v>
      </c>
      <c r="AA1091" s="36" t="s">
        <v>34</v>
      </c>
      <c r="AB1091" s="38" t="s">
        <v>35</v>
      </c>
      <c r="AC1091" s="36" t="s">
        <v>36</v>
      </c>
      <c r="AD1091" s="39" t="s">
        <v>37</v>
      </c>
      <c r="AE1091" s="36" t="s">
        <v>38</v>
      </c>
      <c r="AF1091" s="40" t="s">
        <v>39</v>
      </c>
      <c r="AG1091" s="40" t="s">
        <v>40</v>
      </c>
      <c r="AH1091" s="40" t="s">
        <v>41</v>
      </c>
      <c r="AI1091" s="40" t="s">
        <v>42</v>
      </c>
      <c r="AJ1091" s="40" t="s">
        <v>43</v>
      </c>
      <c r="AK1091" s="40" t="s">
        <v>44</v>
      </c>
      <c r="AL1091" s="41" t="s">
        <v>45</v>
      </c>
      <c r="AM1091" s="42" t="s">
        <v>46</v>
      </c>
      <c r="AN1091" s="43" t="s">
        <v>47</v>
      </c>
      <c r="AO1091" s="40" t="s">
        <v>48</v>
      </c>
      <c r="AP1091" s="40" t="s">
        <v>49</v>
      </c>
      <c r="AQ1091" s="40" t="s">
        <v>50</v>
      </c>
      <c r="AR1091" s="44" t="s">
        <v>136</v>
      </c>
      <c r="AS1091" s="36" t="s">
        <v>52</v>
      </c>
      <c r="AT1091" s="36" t="s">
        <v>53</v>
      </c>
      <c r="AU1091" s="36" t="s">
        <v>54</v>
      </c>
      <c r="AV1091" s="36" t="s">
        <v>55</v>
      </c>
      <c r="AW1091" s="36" t="s">
        <v>56</v>
      </c>
      <c r="AX1091" s="36" t="s">
        <v>203</v>
      </c>
      <c r="AY1091" s="36" t="s">
        <v>58</v>
      </c>
      <c r="AZ1091" s="38" t="s">
        <v>59</v>
      </c>
      <c r="BA1091" s="36" t="s">
        <v>60</v>
      </c>
      <c r="BB1091" s="36" t="s">
        <v>61</v>
      </c>
      <c r="BC1091" s="39" t="s">
        <v>62</v>
      </c>
      <c r="BD1091" s="36" t="s">
        <v>63</v>
      </c>
      <c r="BE1091" s="36" t="s">
        <v>64</v>
      </c>
      <c r="BF1091" s="45" t="s">
        <v>65</v>
      </c>
      <c r="BG1091" s="45" t="s">
        <v>66</v>
      </c>
      <c r="BH1091" s="45" t="s">
        <v>67</v>
      </c>
      <c r="BI1091" s="45" t="s">
        <v>68</v>
      </c>
      <c r="BJ1091" s="46" t="s">
        <v>69</v>
      </c>
      <c r="BK1091" s="46" t="s">
        <v>70</v>
      </c>
      <c r="BL1091" s="47" t="s">
        <v>71</v>
      </c>
      <c r="BM1091" s="48" t="s">
        <v>72</v>
      </c>
      <c r="BN1091" s="49" t="s">
        <v>69</v>
      </c>
      <c r="BO1091" s="50" t="s">
        <v>70</v>
      </c>
    </row>
    <row r="1092" spans="2:67" ht="18.95" customHeight="1">
      <c r="B1092" s="51" t="s">
        <v>265</v>
      </c>
      <c r="C1092" s="52" t="s">
        <v>1072</v>
      </c>
      <c r="D1092" s="53" t="s">
        <v>265</v>
      </c>
      <c r="E1092" s="54" t="s">
        <v>1166</v>
      </c>
      <c r="F1092" s="55"/>
      <c r="G1092" s="55"/>
      <c r="H1092" s="55"/>
      <c r="I1092" s="55"/>
      <c r="J1092" s="55"/>
      <c r="K1092" s="55"/>
      <c r="L1092" s="55"/>
      <c r="M1092" s="55"/>
      <c r="N1092" s="56"/>
      <c r="O1092" s="55"/>
      <c r="P1092" s="55"/>
      <c r="Q1092" s="57"/>
      <c r="R1092" s="55">
        <v>1</v>
      </c>
      <c r="S1092" s="58"/>
      <c r="T1092" s="58"/>
      <c r="U1092" s="55"/>
      <c r="V1092" s="55"/>
      <c r="W1092" s="55"/>
      <c r="X1092" s="55"/>
      <c r="Y1092" s="55"/>
      <c r="Z1092" s="55"/>
      <c r="AA1092" s="55"/>
      <c r="AB1092" s="55"/>
      <c r="AC1092" s="55"/>
      <c r="AD1092" s="55"/>
      <c r="AE1092" s="57"/>
      <c r="AF1092" s="57"/>
      <c r="AG1092" s="57"/>
      <c r="AH1092" s="57"/>
      <c r="AI1092" s="57"/>
      <c r="AJ1092" s="57"/>
      <c r="AK1092" s="57"/>
      <c r="AL1092" s="59"/>
      <c r="AM1092" s="57"/>
      <c r="AN1092" s="57"/>
      <c r="AO1092" s="55"/>
      <c r="AP1092" s="55"/>
      <c r="AQ1092" s="57"/>
      <c r="AR1092" s="60"/>
      <c r="AS1092" s="57"/>
      <c r="AT1092" s="57"/>
      <c r="AU1092" s="57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55"/>
      <c r="BG1092" s="62"/>
      <c r="BH1092" s="63">
        <f t="shared" ref="BH1092:BH1098" si="48">SUM(F1092:BG1092)</f>
        <v>1</v>
      </c>
      <c r="BI1092" s="64">
        <v>1</v>
      </c>
      <c r="BJ1092" s="62"/>
      <c r="BK1092" s="203">
        <f t="shared" ref="BK1092:BK1121" si="49">BH1092-BI1092</f>
        <v>0</v>
      </c>
      <c r="BL1092" s="64"/>
      <c r="BM1092" s="65"/>
      <c r="BN1092" s="65"/>
      <c r="BO1092" s="65"/>
    </row>
    <row r="1093" spans="2:67" ht="18.75" customHeight="1">
      <c r="B1093" s="51" t="s">
        <v>267</v>
      </c>
      <c r="C1093" s="52" t="s">
        <v>1072</v>
      </c>
      <c r="D1093" s="53" t="s">
        <v>267</v>
      </c>
      <c r="E1093" s="54" t="s">
        <v>1167</v>
      </c>
      <c r="F1093" s="66"/>
      <c r="G1093" s="66"/>
      <c r="H1093" s="66"/>
      <c r="I1093" s="66"/>
      <c r="J1093" s="66"/>
      <c r="K1093" s="66"/>
      <c r="L1093" s="66"/>
      <c r="M1093" s="66"/>
      <c r="N1093" s="67"/>
      <c r="O1093" s="66"/>
      <c r="P1093" s="66"/>
      <c r="Q1093" s="66"/>
      <c r="R1093" s="66">
        <v>3</v>
      </c>
      <c r="S1093" s="66"/>
      <c r="T1093" s="66"/>
      <c r="U1093" s="66"/>
      <c r="V1093" s="66"/>
      <c r="W1093" s="66"/>
      <c r="X1093" s="66"/>
      <c r="Y1093" s="66"/>
      <c r="Z1093" s="66"/>
      <c r="AA1093" s="66"/>
      <c r="AB1093" s="66"/>
      <c r="AC1093" s="66"/>
      <c r="AD1093" s="66"/>
      <c r="AE1093" s="66"/>
      <c r="AF1093" s="66"/>
      <c r="AG1093" s="66"/>
      <c r="AH1093" s="66"/>
      <c r="AI1093" s="66"/>
      <c r="AJ1093" s="66"/>
      <c r="AK1093" s="66"/>
      <c r="AL1093" s="66"/>
      <c r="AM1093" s="66"/>
      <c r="AN1093" s="66"/>
      <c r="AO1093" s="66"/>
      <c r="AP1093" s="66"/>
      <c r="AQ1093" s="66"/>
      <c r="AR1093" s="68"/>
      <c r="AS1093" s="66"/>
      <c r="AT1093" s="66"/>
      <c r="AU1093" s="66"/>
      <c r="AV1093" s="69"/>
      <c r="AW1093" s="69"/>
      <c r="AX1093" s="69"/>
      <c r="AY1093" s="69"/>
      <c r="AZ1093" s="69"/>
      <c r="BA1093" s="69"/>
      <c r="BB1093" s="69"/>
      <c r="BC1093" s="69"/>
      <c r="BD1093" s="69"/>
      <c r="BE1093" s="69"/>
      <c r="BF1093" s="55"/>
      <c r="BG1093" s="70"/>
      <c r="BH1093" s="63">
        <f t="shared" si="48"/>
        <v>3</v>
      </c>
      <c r="BI1093" s="63">
        <v>3</v>
      </c>
      <c r="BJ1093" s="70"/>
      <c r="BK1093" s="203">
        <f t="shared" si="49"/>
        <v>0</v>
      </c>
      <c r="BL1093" s="63"/>
      <c r="BM1093" s="71"/>
      <c r="BN1093" s="71"/>
      <c r="BO1093" s="72"/>
    </row>
    <row r="1094" spans="2:67" ht="18.95" customHeight="1">
      <c r="B1094" s="51" t="s">
        <v>269</v>
      </c>
      <c r="C1094" s="52" t="s">
        <v>1072</v>
      </c>
      <c r="D1094" s="53" t="s">
        <v>269</v>
      </c>
      <c r="E1094" s="54" t="s">
        <v>1168</v>
      </c>
      <c r="F1094" s="66"/>
      <c r="G1094" s="66"/>
      <c r="H1094" s="66"/>
      <c r="I1094" s="66"/>
      <c r="J1094" s="66"/>
      <c r="K1094" s="66"/>
      <c r="L1094" s="66"/>
      <c r="M1094" s="66"/>
      <c r="N1094" s="67"/>
      <c r="O1094" s="66"/>
      <c r="P1094" s="66"/>
      <c r="Q1094" s="66"/>
      <c r="R1094" s="66">
        <v>3</v>
      </c>
      <c r="S1094" s="66"/>
      <c r="T1094" s="66"/>
      <c r="U1094" s="66"/>
      <c r="V1094" s="66"/>
      <c r="W1094" s="66"/>
      <c r="X1094" s="66"/>
      <c r="Y1094" s="66"/>
      <c r="Z1094" s="66"/>
      <c r="AA1094" s="66"/>
      <c r="AB1094" s="66"/>
      <c r="AC1094" s="66"/>
      <c r="AD1094" s="66"/>
      <c r="AE1094" s="66"/>
      <c r="AF1094" s="66"/>
      <c r="AG1094" s="66"/>
      <c r="AH1094" s="66"/>
      <c r="AI1094" s="66"/>
      <c r="AJ1094" s="66"/>
      <c r="AK1094" s="66"/>
      <c r="AL1094" s="66"/>
      <c r="AM1094" s="66"/>
      <c r="AN1094" s="66"/>
      <c r="AO1094" s="66"/>
      <c r="AP1094" s="66"/>
      <c r="AQ1094" s="66"/>
      <c r="AR1094" s="68"/>
      <c r="AS1094" s="66"/>
      <c r="AT1094" s="66"/>
      <c r="AU1094" s="66"/>
      <c r="AV1094" s="69"/>
      <c r="AW1094" s="69"/>
      <c r="AX1094" s="69"/>
      <c r="AY1094" s="69"/>
      <c r="AZ1094" s="69"/>
      <c r="BA1094" s="69"/>
      <c r="BB1094" s="69"/>
      <c r="BC1094" s="69"/>
      <c r="BD1094" s="69"/>
      <c r="BE1094" s="69"/>
      <c r="BF1094" s="55"/>
      <c r="BG1094" s="70"/>
      <c r="BH1094" s="63">
        <f t="shared" si="48"/>
        <v>3</v>
      </c>
      <c r="BI1094" s="63">
        <v>3</v>
      </c>
      <c r="BJ1094" s="70"/>
      <c r="BK1094" s="203">
        <f t="shared" si="49"/>
        <v>0</v>
      </c>
      <c r="BL1094" s="63"/>
      <c r="BM1094" s="71"/>
      <c r="BN1094" s="72"/>
      <c r="BO1094" s="71"/>
    </row>
    <row r="1095" spans="2:67" ht="18.95" customHeight="1">
      <c r="B1095" s="51" t="s">
        <v>271</v>
      </c>
      <c r="C1095" s="52" t="s">
        <v>1072</v>
      </c>
      <c r="D1095" s="53" t="s">
        <v>271</v>
      </c>
      <c r="E1095" s="54" t="s">
        <v>1169</v>
      </c>
      <c r="F1095" s="66"/>
      <c r="G1095" s="66"/>
      <c r="H1095" s="66"/>
      <c r="I1095" s="66"/>
      <c r="J1095" s="66"/>
      <c r="K1095" s="66"/>
      <c r="L1095" s="66"/>
      <c r="M1095" s="66"/>
      <c r="N1095" s="67"/>
      <c r="O1095" s="66"/>
      <c r="P1095" s="66"/>
      <c r="Q1095" s="66"/>
      <c r="R1095" s="66">
        <v>1</v>
      </c>
      <c r="S1095" s="66"/>
      <c r="T1095" s="66"/>
      <c r="U1095" s="66"/>
      <c r="V1095" s="66"/>
      <c r="W1095" s="66"/>
      <c r="X1095" s="66"/>
      <c r="Y1095" s="66"/>
      <c r="Z1095" s="66"/>
      <c r="AA1095" s="66"/>
      <c r="AB1095" s="66"/>
      <c r="AC1095" s="66"/>
      <c r="AD1095" s="66"/>
      <c r="AE1095" s="66"/>
      <c r="AF1095" s="66"/>
      <c r="AG1095" s="66"/>
      <c r="AH1095" s="66"/>
      <c r="AI1095" s="66"/>
      <c r="AJ1095" s="66"/>
      <c r="AK1095" s="66"/>
      <c r="AL1095" s="66"/>
      <c r="AM1095" s="66"/>
      <c r="AN1095" s="66"/>
      <c r="AO1095" s="66"/>
      <c r="AP1095" s="66"/>
      <c r="AQ1095" s="66"/>
      <c r="AR1095" s="68"/>
      <c r="AS1095" s="66"/>
      <c r="AT1095" s="66"/>
      <c r="AU1095" s="66"/>
      <c r="AV1095" s="69"/>
      <c r="AW1095" s="69"/>
      <c r="AX1095" s="69"/>
      <c r="AY1095" s="69"/>
      <c r="AZ1095" s="69"/>
      <c r="BA1095" s="69"/>
      <c r="BB1095" s="69"/>
      <c r="BC1095" s="69"/>
      <c r="BD1095" s="69"/>
      <c r="BE1095" s="69"/>
      <c r="BF1095" s="55"/>
      <c r="BG1095" s="70"/>
      <c r="BH1095" s="63">
        <f t="shared" si="48"/>
        <v>1</v>
      </c>
      <c r="BI1095" s="63">
        <v>1</v>
      </c>
      <c r="BJ1095" s="70"/>
      <c r="BK1095" s="203">
        <f t="shared" si="49"/>
        <v>0</v>
      </c>
      <c r="BL1095" s="63"/>
      <c r="BM1095" s="71"/>
      <c r="BN1095" s="71"/>
      <c r="BO1095" s="71"/>
    </row>
    <row r="1096" spans="2:67" ht="18.95" customHeight="1">
      <c r="B1096" s="51" t="s">
        <v>273</v>
      </c>
      <c r="C1096" s="52" t="s">
        <v>1072</v>
      </c>
      <c r="D1096" s="53" t="s">
        <v>273</v>
      </c>
      <c r="E1096" s="209" t="s">
        <v>1170</v>
      </c>
      <c r="F1096" s="66"/>
      <c r="G1096" s="66"/>
      <c r="H1096" s="66"/>
      <c r="I1096" s="66"/>
      <c r="J1096" s="66"/>
      <c r="K1096" s="66"/>
      <c r="L1096" s="66"/>
      <c r="M1096" s="66"/>
      <c r="N1096" s="67"/>
      <c r="O1096" s="66"/>
      <c r="P1096" s="66"/>
      <c r="Q1096" s="66"/>
      <c r="R1096" s="66">
        <v>2</v>
      </c>
      <c r="S1096" s="66"/>
      <c r="T1096" s="66"/>
      <c r="U1096" s="66"/>
      <c r="V1096" s="66"/>
      <c r="W1096" s="66"/>
      <c r="X1096" s="66"/>
      <c r="Y1096" s="66"/>
      <c r="Z1096" s="66"/>
      <c r="AA1096" s="66"/>
      <c r="AB1096" s="66"/>
      <c r="AC1096" s="66"/>
      <c r="AD1096" s="66"/>
      <c r="AE1096" s="66"/>
      <c r="AF1096" s="66"/>
      <c r="AG1096" s="66"/>
      <c r="AH1096" s="66"/>
      <c r="AI1096" s="66"/>
      <c r="AJ1096" s="66"/>
      <c r="AK1096" s="66"/>
      <c r="AL1096" s="66"/>
      <c r="AM1096" s="66"/>
      <c r="AN1096" s="66"/>
      <c r="AO1096" s="66"/>
      <c r="AP1096" s="66"/>
      <c r="AQ1096" s="66"/>
      <c r="AR1096" s="68"/>
      <c r="AS1096" s="66"/>
      <c r="AT1096" s="66"/>
      <c r="AU1096" s="66"/>
      <c r="AV1096" s="69"/>
      <c r="AW1096" s="69"/>
      <c r="AX1096" s="69"/>
      <c r="AY1096" s="69"/>
      <c r="AZ1096" s="69"/>
      <c r="BA1096" s="69"/>
      <c r="BB1096" s="69"/>
      <c r="BC1096" s="69"/>
      <c r="BD1096" s="69"/>
      <c r="BE1096" s="69"/>
      <c r="BF1096" s="55"/>
      <c r="BG1096" s="70"/>
      <c r="BH1096" s="63">
        <f t="shared" si="48"/>
        <v>2</v>
      </c>
      <c r="BI1096" s="63">
        <v>2</v>
      </c>
      <c r="BJ1096" s="70"/>
      <c r="BK1096" s="203">
        <f t="shared" si="49"/>
        <v>0</v>
      </c>
      <c r="BL1096" s="63"/>
      <c r="BM1096" s="71"/>
      <c r="BN1096" s="71"/>
      <c r="BO1096" s="71"/>
    </row>
    <row r="1097" spans="2:67" ht="18.75" customHeight="1">
      <c r="B1097" s="51" t="s">
        <v>275</v>
      </c>
      <c r="C1097" s="52" t="s">
        <v>1072</v>
      </c>
      <c r="D1097" s="53" t="s">
        <v>275</v>
      </c>
      <c r="E1097" s="209" t="s">
        <v>1171</v>
      </c>
      <c r="F1097" s="66"/>
      <c r="G1097" s="66"/>
      <c r="H1097" s="66"/>
      <c r="I1097" s="66"/>
      <c r="J1097" s="66"/>
      <c r="K1097" s="66"/>
      <c r="L1097" s="66"/>
      <c r="M1097" s="66"/>
      <c r="N1097" s="67"/>
      <c r="O1097" s="66"/>
      <c r="P1097" s="66"/>
      <c r="Q1097" s="66"/>
      <c r="R1097" s="66">
        <v>1</v>
      </c>
      <c r="S1097" s="66"/>
      <c r="T1097" s="66"/>
      <c r="U1097" s="66"/>
      <c r="V1097" s="66"/>
      <c r="W1097" s="66"/>
      <c r="X1097" s="66"/>
      <c r="Y1097" s="66"/>
      <c r="Z1097" s="66"/>
      <c r="AA1097" s="66"/>
      <c r="AB1097" s="66"/>
      <c r="AC1097" s="66"/>
      <c r="AD1097" s="66"/>
      <c r="AE1097" s="66"/>
      <c r="AF1097" s="66"/>
      <c r="AG1097" s="66"/>
      <c r="AH1097" s="66"/>
      <c r="AI1097" s="66"/>
      <c r="AJ1097" s="66"/>
      <c r="AK1097" s="66"/>
      <c r="AL1097" s="66"/>
      <c r="AM1097" s="66"/>
      <c r="AN1097" s="66"/>
      <c r="AO1097" s="66"/>
      <c r="AP1097" s="66"/>
      <c r="AQ1097" s="66"/>
      <c r="AR1097" s="68"/>
      <c r="AS1097" s="66"/>
      <c r="AT1097" s="66"/>
      <c r="AU1097" s="66"/>
      <c r="AV1097" s="69"/>
      <c r="AW1097" s="69"/>
      <c r="AX1097" s="69"/>
      <c r="AY1097" s="69"/>
      <c r="AZ1097" s="69"/>
      <c r="BA1097" s="69"/>
      <c r="BB1097" s="69"/>
      <c r="BC1097" s="69"/>
      <c r="BD1097" s="69"/>
      <c r="BE1097" s="69"/>
      <c r="BF1097" s="55"/>
      <c r="BG1097" s="70"/>
      <c r="BH1097" s="63">
        <f t="shared" si="48"/>
        <v>1</v>
      </c>
      <c r="BI1097" s="63">
        <v>1</v>
      </c>
      <c r="BJ1097" s="70"/>
      <c r="BK1097" s="203">
        <f t="shared" si="49"/>
        <v>0</v>
      </c>
      <c r="BL1097" s="63"/>
      <c r="BM1097" s="71"/>
      <c r="BN1097" s="71"/>
      <c r="BO1097" s="71"/>
    </row>
    <row r="1098" spans="2:67" ht="18.75" customHeight="1">
      <c r="B1098" s="51" t="s">
        <v>277</v>
      </c>
      <c r="C1098" s="52" t="s">
        <v>1072</v>
      </c>
      <c r="D1098" s="53" t="s">
        <v>277</v>
      </c>
      <c r="E1098" s="209" t="s">
        <v>1172</v>
      </c>
      <c r="F1098" s="66"/>
      <c r="G1098" s="66"/>
      <c r="H1098" s="66"/>
      <c r="I1098" s="66"/>
      <c r="J1098" s="66"/>
      <c r="K1098" s="66"/>
      <c r="L1098" s="66"/>
      <c r="M1098" s="66"/>
      <c r="N1098" s="67"/>
      <c r="O1098" s="66"/>
      <c r="P1098" s="66"/>
      <c r="Q1098" s="66"/>
      <c r="R1098" s="66">
        <v>1</v>
      </c>
      <c r="S1098" s="66"/>
      <c r="T1098" s="66"/>
      <c r="U1098" s="66"/>
      <c r="V1098" s="66"/>
      <c r="W1098" s="66"/>
      <c r="X1098" s="66"/>
      <c r="Y1098" s="66"/>
      <c r="Z1098" s="66"/>
      <c r="AA1098" s="66"/>
      <c r="AB1098" s="66"/>
      <c r="AC1098" s="66"/>
      <c r="AD1098" s="66"/>
      <c r="AE1098" s="66"/>
      <c r="AF1098" s="66"/>
      <c r="AG1098" s="66"/>
      <c r="AH1098" s="66"/>
      <c r="AI1098" s="66"/>
      <c r="AJ1098" s="66"/>
      <c r="AK1098" s="66"/>
      <c r="AL1098" s="66"/>
      <c r="AM1098" s="66"/>
      <c r="AN1098" s="66"/>
      <c r="AO1098" s="66"/>
      <c r="AP1098" s="66"/>
      <c r="AQ1098" s="66"/>
      <c r="AR1098" s="68"/>
      <c r="AS1098" s="66"/>
      <c r="AT1098" s="66"/>
      <c r="AU1098" s="66"/>
      <c r="AV1098" s="69"/>
      <c r="AW1098" s="69"/>
      <c r="AX1098" s="69"/>
      <c r="AY1098" s="69"/>
      <c r="AZ1098" s="69"/>
      <c r="BA1098" s="69"/>
      <c r="BB1098" s="69"/>
      <c r="BC1098" s="69"/>
      <c r="BD1098" s="69"/>
      <c r="BE1098" s="69"/>
      <c r="BF1098" s="55"/>
      <c r="BG1098" s="70">
        <v>1</v>
      </c>
      <c r="BH1098" s="63">
        <f t="shared" si="48"/>
        <v>2</v>
      </c>
      <c r="BI1098" s="63">
        <v>2</v>
      </c>
      <c r="BJ1098" s="70"/>
      <c r="BK1098" s="203">
        <f t="shared" si="49"/>
        <v>0</v>
      </c>
      <c r="BL1098" s="63"/>
      <c r="BM1098" s="71"/>
      <c r="BN1098" s="71"/>
      <c r="BO1098" s="71"/>
    </row>
    <row r="1099" spans="2:67" ht="18.95" customHeight="1">
      <c r="B1099" s="51" t="s">
        <v>279</v>
      </c>
      <c r="C1099" s="52" t="s">
        <v>1072</v>
      </c>
      <c r="D1099" s="53" t="s">
        <v>279</v>
      </c>
      <c r="E1099" s="209" t="s">
        <v>1173</v>
      </c>
      <c r="F1099" s="66"/>
      <c r="G1099" s="66"/>
      <c r="H1099" s="66"/>
      <c r="I1099" s="66"/>
      <c r="J1099" s="66"/>
      <c r="K1099" s="66"/>
      <c r="L1099" s="66"/>
      <c r="M1099" s="66"/>
      <c r="N1099" s="67"/>
      <c r="O1099" s="66"/>
      <c r="P1099" s="66"/>
      <c r="Q1099" s="66"/>
      <c r="R1099" s="66">
        <v>0</v>
      </c>
      <c r="S1099" s="66"/>
      <c r="T1099" s="66"/>
      <c r="U1099" s="66"/>
      <c r="V1099" s="66"/>
      <c r="W1099" s="66"/>
      <c r="X1099" s="66"/>
      <c r="Y1099" s="66"/>
      <c r="Z1099" s="66"/>
      <c r="AA1099" s="66"/>
      <c r="AB1099" s="66"/>
      <c r="AC1099" s="66"/>
      <c r="AD1099" s="66"/>
      <c r="AE1099" s="66"/>
      <c r="AF1099" s="66"/>
      <c r="AG1099" s="66"/>
      <c r="AH1099" s="66"/>
      <c r="AI1099" s="66"/>
      <c r="AJ1099" s="66"/>
      <c r="AK1099" s="66"/>
      <c r="AL1099" s="66"/>
      <c r="AM1099" s="66"/>
      <c r="AN1099" s="66"/>
      <c r="AO1099" s="66"/>
      <c r="AP1099" s="66"/>
      <c r="AQ1099" s="66"/>
      <c r="AR1099" s="68"/>
      <c r="AS1099" s="66"/>
      <c r="AT1099" s="66"/>
      <c r="AU1099" s="66"/>
      <c r="AV1099" s="69"/>
      <c r="AW1099" s="69"/>
      <c r="AX1099" s="69"/>
      <c r="AY1099" s="69"/>
      <c r="AZ1099" s="69"/>
      <c r="BA1099" s="69"/>
      <c r="BB1099" s="69"/>
      <c r="BC1099" s="69"/>
      <c r="BD1099" s="69"/>
      <c r="BE1099" s="69"/>
      <c r="BF1099" s="55"/>
      <c r="BG1099" s="70"/>
      <c r="BH1099" s="63">
        <v>30</v>
      </c>
      <c r="BI1099" s="63">
        <v>30</v>
      </c>
      <c r="BJ1099" s="70"/>
      <c r="BK1099" s="203">
        <v>30</v>
      </c>
      <c r="BL1099" s="63"/>
      <c r="BM1099" s="71"/>
      <c r="BN1099" s="71"/>
      <c r="BO1099" s="71"/>
    </row>
    <row r="1100" spans="2:67" ht="18.95" customHeight="1">
      <c r="B1100" s="51" t="s">
        <v>281</v>
      </c>
      <c r="C1100" s="52" t="s">
        <v>1072</v>
      </c>
      <c r="D1100" s="53"/>
      <c r="E1100" s="210"/>
      <c r="F1100" s="66"/>
      <c r="G1100" s="66"/>
      <c r="H1100" s="66"/>
      <c r="I1100" s="66"/>
      <c r="J1100" s="66"/>
      <c r="K1100" s="66"/>
      <c r="L1100" s="66"/>
      <c r="M1100" s="66"/>
      <c r="N1100" s="67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  <c r="AD1100" s="66"/>
      <c r="AE1100" s="66"/>
      <c r="AF1100" s="66"/>
      <c r="AG1100" s="66"/>
      <c r="AH1100" s="66"/>
      <c r="AI1100" s="66"/>
      <c r="AJ1100" s="66"/>
      <c r="AK1100" s="66"/>
      <c r="AL1100" s="66"/>
      <c r="AM1100" s="66"/>
      <c r="AN1100" s="66"/>
      <c r="AO1100" s="66"/>
      <c r="AP1100" s="66"/>
      <c r="AQ1100" s="66"/>
      <c r="AR1100" s="68"/>
      <c r="AS1100" s="66"/>
      <c r="AT1100" s="66"/>
      <c r="AU1100" s="66"/>
      <c r="AV1100" s="69"/>
      <c r="AW1100" s="69"/>
      <c r="AX1100" s="69"/>
      <c r="AY1100" s="69"/>
      <c r="AZ1100" s="69"/>
      <c r="BA1100" s="69"/>
      <c r="BB1100" s="69"/>
      <c r="BC1100" s="69"/>
      <c r="BD1100" s="69"/>
      <c r="BE1100" s="69"/>
      <c r="BF1100" s="55"/>
      <c r="BG1100" s="70"/>
      <c r="BH1100" s="63"/>
      <c r="BI1100" s="63"/>
      <c r="BJ1100" s="70"/>
      <c r="BK1100" s="203">
        <f t="shared" si="49"/>
        <v>0</v>
      </c>
      <c r="BL1100" s="63"/>
      <c r="BM1100" s="71"/>
      <c r="BN1100" s="71"/>
      <c r="BO1100" s="71"/>
    </row>
    <row r="1101" spans="2:67" ht="18.95" customHeight="1">
      <c r="B1101" s="51" t="s">
        <v>283</v>
      </c>
      <c r="C1101" s="52" t="s">
        <v>1072</v>
      </c>
      <c r="D1101" s="53"/>
      <c r="E1101" s="210"/>
      <c r="F1101" s="66"/>
      <c r="G1101" s="66"/>
      <c r="H1101" s="66"/>
      <c r="I1101" s="66"/>
      <c r="J1101" s="66"/>
      <c r="K1101" s="66"/>
      <c r="L1101" s="66"/>
      <c r="M1101" s="66"/>
      <c r="N1101" s="67"/>
      <c r="O1101" s="66"/>
      <c r="P1101" s="66"/>
      <c r="Q1101" s="66"/>
      <c r="R1101" s="66"/>
      <c r="S1101" s="66"/>
      <c r="T1101" s="66"/>
      <c r="U1101" s="66"/>
      <c r="V1101" s="66"/>
      <c r="W1101" s="66"/>
      <c r="X1101" s="66"/>
      <c r="Y1101" s="66"/>
      <c r="Z1101" s="66"/>
      <c r="AA1101" s="66"/>
      <c r="AB1101" s="66"/>
      <c r="AC1101" s="66"/>
      <c r="AD1101" s="66"/>
      <c r="AE1101" s="66"/>
      <c r="AF1101" s="66"/>
      <c r="AG1101" s="66"/>
      <c r="AH1101" s="66"/>
      <c r="AI1101" s="66"/>
      <c r="AJ1101" s="66"/>
      <c r="AK1101" s="66"/>
      <c r="AL1101" s="66"/>
      <c r="AM1101" s="66"/>
      <c r="AN1101" s="66"/>
      <c r="AO1101" s="66"/>
      <c r="AP1101" s="66"/>
      <c r="AQ1101" s="66"/>
      <c r="AR1101" s="68"/>
      <c r="AS1101" s="66"/>
      <c r="AT1101" s="66"/>
      <c r="AU1101" s="66"/>
      <c r="AV1101" s="69"/>
      <c r="AW1101" s="69"/>
      <c r="AX1101" s="69"/>
      <c r="AY1101" s="69"/>
      <c r="AZ1101" s="69"/>
      <c r="BA1101" s="69"/>
      <c r="BB1101" s="69"/>
      <c r="BC1101" s="69"/>
      <c r="BD1101" s="69"/>
      <c r="BE1101" s="69"/>
      <c r="BF1101" s="55"/>
      <c r="BG1101" s="70"/>
      <c r="BH1101" s="63"/>
      <c r="BI1101" s="63"/>
      <c r="BJ1101" s="70"/>
      <c r="BK1101" s="203">
        <f t="shared" si="49"/>
        <v>0</v>
      </c>
      <c r="BL1101" s="63"/>
      <c r="BM1101" s="71"/>
      <c r="BN1101" s="71"/>
      <c r="BO1101" s="71"/>
    </row>
    <row r="1102" spans="2:67" ht="18.95" customHeight="1">
      <c r="B1102" s="51" t="s">
        <v>285</v>
      </c>
      <c r="C1102" s="52" t="s">
        <v>1072</v>
      </c>
      <c r="D1102" s="53"/>
      <c r="E1102" s="210"/>
      <c r="F1102" s="66"/>
      <c r="G1102" s="66"/>
      <c r="H1102" s="66"/>
      <c r="I1102" s="66"/>
      <c r="J1102" s="66"/>
      <c r="K1102" s="66"/>
      <c r="L1102" s="66"/>
      <c r="M1102" s="66"/>
      <c r="N1102" s="67"/>
      <c r="O1102" s="66"/>
      <c r="P1102" s="66"/>
      <c r="Q1102" s="66"/>
      <c r="R1102" s="66"/>
      <c r="S1102" s="66"/>
      <c r="T1102" s="66"/>
      <c r="U1102" s="66"/>
      <c r="V1102" s="66"/>
      <c r="W1102" s="66"/>
      <c r="X1102" s="66"/>
      <c r="Y1102" s="66"/>
      <c r="Z1102" s="66"/>
      <c r="AA1102" s="66"/>
      <c r="AB1102" s="66"/>
      <c r="AC1102" s="66"/>
      <c r="AD1102" s="66"/>
      <c r="AE1102" s="66"/>
      <c r="AF1102" s="66"/>
      <c r="AG1102" s="66"/>
      <c r="AH1102" s="66"/>
      <c r="AI1102" s="66"/>
      <c r="AJ1102" s="66"/>
      <c r="AK1102" s="66"/>
      <c r="AL1102" s="66"/>
      <c r="AM1102" s="66"/>
      <c r="AN1102" s="66"/>
      <c r="AO1102" s="66"/>
      <c r="AP1102" s="66"/>
      <c r="AQ1102" s="66"/>
      <c r="AR1102" s="68"/>
      <c r="AS1102" s="66"/>
      <c r="AT1102" s="66"/>
      <c r="AU1102" s="66"/>
      <c r="AV1102" s="69"/>
      <c r="AW1102" s="69"/>
      <c r="AX1102" s="69"/>
      <c r="AY1102" s="69"/>
      <c r="AZ1102" s="69"/>
      <c r="BA1102" s="69"/>
      <c r="BB1102" s="69"/>
      <c r="BC1102" s="69"/>
      <c r="BD1102" s="69"/>
      <c r="BE1102" s="69"/>
      <c r="BF1102" s="55"/>
      <c r="BG1102" s="70"/>
      <c r="BH1102" s="63"/>
      <c r="BI1102" s="63"/>
      <c r="BJ1102" s="70"/>
      <c r="BK1102" s="203">
        <f t="shared" si="49"/>
        <v>0</v>
      </c>
      <c r="BL1102" s="63"/>
      <c r="BM1102" s="71"/>
      <c r="BN1102" s="71"/>
      <c r="BO1102" s="71"/>
    </row>
    <row r="1103" spans="2:67" ht="18.95" customHeight="1">
      <c r="B1103" s="51" t="s">
        <v>287</v>
      </c>
      <c r="C1103" s="52" t="s">
        <v>1072</v>
      </c>
      <c r="D1103" s="53"/>
      <c r="E1103" s="211"/>
      <c r="F1103" s="66"/>
      <c r="G1103" s="66"/>
      <c r="H1103" s="66"/>
      <c r="I1103" s="66"/>
      <c r="J1103" s="66"/>
      <c r="K1103" s="66"/>
      <c r="L1103" s="66"/>
      <c r="M1103" s="66"/>
      <c r="N1103" s="67"/>
      <c r="O1103" s="66"/>
      <c r="P1103" s="66"/>
      <c r="Q1103" s="66"/>
      <c r="R1103" s="66"/>
      <c r="S1103" s="66"/>
      <c r="T1103" s="66"/>
      <c r="U1103" s="66"/>
      <c r="V1103" s="66"/>
      <c r="W1103" s="66"/>
      <c r="X1103" s="66"/>
      <c r="Y1103" s="66"/>
      <c r="Z1103" s="66"/>
      <c r="AA1103" s="66"/>
      <c r="AB1103" s="66"/>
      <c r="AC1103" s="66"/>
      <c r="AD1103" s="66"/>
      <c r="AE1103" s="66"/>
      <c r="AF1103" s="66"/>
      <c r="AG1103" s="66"/>
      <c r="AH1103" s="66"/>
      <c r="AI1103" s="66"/>
      <c r="AJ1103" s="66"/>
      <c r="AK1103" s="66"/>
      <c r="AL1103" s="66"/>
      <c r="AM1103" s="66"/>
      <c r="AN1103" s="66"/>
      <c r="AO1103" s="66"/>
      <c r="AP1103" s="66"/>
      <c r="AQ1103" s="66"/>
      <c r="AR1103" s="68"/>
      <c r="AS1103" s="66"/>
      <c r="AT1103" s="66"/>
      <c r="AU1103" s="66"/>
      <c r="AV1103" s="69"/>
      <c r="AW1103" s="69"/>
      <c r="AX1103" s="69"/>
      <c r="AY1103" s="69"/>
      <c r="AZ1103" s="69"/>
      <c r="BA1103" s="69"/>
      <c r="BB1103" s="69"/>
      <c r="BC1103" s="69"/>
      <c r="BD1103" s="69"/>
      <c r="BE1103" s="69"/>
      <c r="BF1103" s="55"/>
      <c r="BG1103" s="70"/>
      <c r="BH1103" s="63"/>
      <c r="BI1103" s="63"/>
      <c r="BJ1103" s="70"/>
      <c r="BK1103" s="203">
        <f t="shared" si="49"/>
        <v>0</v>
      </c>
      <c r="BL1103" s="63"/>
      <c r="BM1103" s="71"/>
      <c r="BN1103" s="71"/>
      <c r="BO1103" s="71"/>
    </row>
    <row r="1104" spans="2:67" ht="18.95" customHeight="1">
      <c r="B1104" s="51" t="s">
        <v>289</v>
      </c>
      <c r="C1104" s="52" t="s">
        <v>1072</v>
      </c>
      <c r="D1104" s="53"/>
      <c r="E1104" s="211"/>
      <c r="F1104" s="66"/>
      <c r="G1104" s="66"/>
      <c r="H1104" s="66"/>
      <c r="I1104" s="66"/>
      <c r="J1104" s="66"/>
      <c r="K1104" s="66"/>
      <c r="L1104" s="66"/>
      <c r="M1104" s="66"/>
      <c r="N1104" s="67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  <c r="AA1104" s="66"/>
      <c r="AB1104" s="66"/>
      <c r="AC1104" s="66"/>
      <c r="AD1104" s="66"/>
      <c r="AE1104" s="66"/>
      <c r="AF1104" s="66"/>
      <c r="AG1104" s="66"/>
      <c r="AH1104" s="66"/>
      <c r="AI1104" s="66"/>
      <c r="AJ1104" s="66"/>
      <c r="AK1104" s="66"/>
      <c r="AL1104" s="66"/>
      <c r="AM1104" s="66"/>
      <c r="AN1104" s="66"/>
      <c r="AO1104" s="66"/>
      <c r="AP1104" s="66"/>
      <c r="AQ1104" s="66"/>
      <c r="AR1104" s="68"/>
      <c r="AS1104" s="66"/>
      <c r="AT1104" s="66"/>
      <c r="AU1104" s="66"/>
      <c r="AV1104" s="69"/>
      <c r="AW1104" s="69"/>
      <c r="AX1104" s="69"/>
      <c r="AY1104" s="69"/>
      <c r="AZ1104" s="69"/>
      <c r="BA1104" s="69"/>
      <c r="BB1104" s="69"/>
      <c r="BC1104" s="69"/>
      <c r="BD1104" s="69"/>
      <c r="BE1104" s="69"/>
      <c r="BF1104" s="55"/>
      <c r="BG1104" s="70"/>
      <c r="BH1104" s="63"/>
      <c r="BI1104" s="63"/>
      <c r="BJ1104" s="70"/>
      <c r="BK1104" s="203">
        <f t="shared" si="49"/>
        <v>0</v>
      </c>
      <c r="BL1104" s="63"/>
      <c r="BM1104" s="71"/>
      <c r="BN1104" s="71"/>
      <c r="BO1104" s="71"/>
    </row>
    <row r="1105" spans="2:67" ht="18.95" customHeight="1">
      <c r="B1105" s="51" t="s">
        <v>291</v>
      </c>
      <c r="C1105" s="52" t="s">
        <v>1072</v>
      </c>
      <c r="D1105" s="53"/>
      <c r="E1105" s="210"/>
      <c r="F1105" s="66"/>
      <c r="G1105" s="66"/>
      <c r="H1105" s="66"/>
      <c r="I1105" s="66"/>
      <c r="J1105" s="66"/>
      <c r="K1105" s="66"/>
      <c r="L1105" s="66"/>
      <c r="M1105" s="66"/>
      <c r="N1105" s="67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  <c r="AA1105" s="66"/>
      <c r="AB1105" s="66"/>
      <c r="AC1105" s="66"/>
      <c r="AD1105" s="66"/>
      <c r="AE1105" s="66"/>
      <c r="AF1105" s="66"/>
      <c r="AG1105" s="66"/>
      <c r="AH1105" s="66"/>
      <c r="AI1105" s="66"/>
      <c r="AJ1105" s="66"/>
      <c r="AK1105" s="66"/>
      <c r="AL1105" s="66"/>
      <c r="AM1105" s="66"/>
      <c r="AN1105" s="66"/>
      <c r="AO1105" s="66"/>
      <c r="AP1105" s="66"/>
      <c r="AQ1105" s="66"/>
      <c r="AR1105" s="68"/>
      <c r="AS1105" s="66"/>
      <c r="AT1105" s="66"/>
      <c r="AU1105" s="66"/>
      <c r="AV1105" s="69"/>
      <c r="AW1105" s="69"/>
      <c r="AX1105" s="69"/>
      <c r="AY1105" s="69"/>
      <c r="AZ1105" s="69"/>
      <c r="BA1105" s="69"/>
      <c r="BB1105" s="69"/>
      <c r="BC1105" s="69"/>
      <c r="BD1105" s="69"/>
      <c r="BE1105" s="69"/>
      <c r="BF1105" s="55"/>
      <c r="BG1105" s="70"/>
      <c r="BH1105" s="63"/>
      <c r="BI1105" s="63"/>
      <c r="BJ1105" s="70"/>
      <c r="BK1105" s="203">
        <f t="shared" si="49"/>
        <v>0</v>
      </c>
      <c r="BL1105" s="63"/>
      <c r="BM1105" s="71"/>
      <c r="BN1105" s="71"/>
      <c r="BO1105" s="71"/>
    </row>
    <row r="1106" spans="2:67" ht="18.95" customHeight="1">
      <c r="B1106" s="51" t="s">
        <v>293</v>
      </c>
      <c r="C1106" s="52" t="s">
        <v>1072</v>
      </c>
      <c r="D1106" s="53"/>
      <c r="E1106" s="211"/>
      <c r="F1106" s="66"/>
      <c r="G1106" s="66"/>
      <c r="H1106" s="66"/>
      <c r="I1106" s="66"/>
      <c r="J1106" s="66"/>
      <c r="K1106" s="66"/>
      <c r="L1106" s="66"/>
      <c r="M1106" s="66"/>
      <c r="N1106" s="67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  <c r="AA1106" s="66"/>
      <c r="AB1106" s="66"/>
      <c r="AC1106" s="66"/>
      <c r="AD1106" s="66"/>
      <c r="AE1106" s="66"/>
      <c r="AF1106" s="66"/>
      <c r="AG1106" s="66"/>
      <c r="AH1106" s="66"/>
      <c r="AI1106" s="66"/>
      <c r="AJ1106" s="66"/>
      <c r="AK1106" s="66"/>
      <c r="AL1106" s="66"/>
      <c r="AM1106" s="66"/>
      <c r="AN1106" s="66"/>
      <c r="AO1106" s="66"/>
      <c r="AP1106" s="66"/>
      <c r="AQ1106" s="66"/>
      <c r="AR1106" s="68"/>
      <c r="AS1106" s="66"/>
      <c r="AT1106" s="66"/>
      <c r="AU1106" s="66"/>
      <c r="AV1106" s="69"/>
      <c r="AW1106" s="69"/>
      <c r="AX1106" s="69"/>
      <c r="AY1106" s="69"/>
      <c r="AZ1106" s="69"/>
      <c r="BA1106" s="69"/>
      <c r="BB1106" s="69"/>
      <c r="BC1106" s="69"/>
      <c r="BD1106" s="69"/>
      <c r="BE1106" s="69"/>
      <c r="BF1106" s="55"/>
      <c r="BG1106" s="70"/>
      <c r="BH1106" s="63"/>
      <c r="BI1106" s="63"/>
      <c r="BJ1106" s="70"/>
      <c r="BK1106" s="203">
        <f t="shared" si="49"/>
        <v>0</v>
      </c>
      <c r="BL1106" s="63"/>
      <c r="BM1106" s="71"/>
      <c r="BN1106" s="71"/>
      <c r="BO1106" s="71"/>
    </row>
    <row r="1107" spans="2:67" ht="18.95" customHeight="1">
      <c r="B1107" s="51" t="s">
        <v>295</v>
      </c>
      <c r="C1107" s="52" t="s">
        <v>1072</v>
      </c>
      <c r="D1107" s="53"/>
      <c r="E1107" s="212"/>
      <c r="F1107" s="66"/>
      <c r="G1107" s="66"/>
      <c r="H1107" s="66"/>
      <c r="I1107" s="66"/>
      <c r="J1107" s="66"/>
      <c r="K1107" s="66"/>
      <c r="L1107" s="66"/>
      <c r="M1107" s="66"/>
      <c r="N1107" s="67"/>
      <c r="O1107" s="66"/>
      <c r="P1107" s="66"/>
      <c r="Q1107" s="66"/>
      <c r="R1107" s="66"/>
      <c r="S1107" s="66"/>
      <c r="T1107" s="66"/>
      <c r="U1107" s="66"/>
      <c r="V1107" s="66"/>
      <c r="W1107" s="66"/>
      <c r="X1107" s="66"/>
      <c r="Y1107" s="66"/>
      <c r="Z1107" s="66"/>
      <c r="AA1107" s="66"/>
      <c r="AB1107" s="66"/>
      <c r="AC1107" s="66"/>
      <c r="AD1107" s="66"/>
      <c r="AE1107" s="66"/>
      <c r="AF1107" s="66"/>
      <c r="AG1107" s="66"/>
      <c r="AH1107" s="66"/>
      <c r="AI1107" s="66"/>
      <c r="AJ1107" s="66"/>
      <c r="AK1107" s="66"/>
      <c r="AL1107" s="66"/>
      <c r="AM1107" s="66"/>
      <c r="AN1107" s="66"/>
      <c r="AO1107" s="66"/>
      <c r="AP1107" s="66"/>
      <c r="AQ1107" s="66"/>
      <c r="AR1107" s="68"/>
      <c r="AS1107" s="66"/>
      <c r="AT1107" s="66"/>
      <c r="AU1107" s="66"/>
      <c r="AV1107" s="69"/>
      <c r="AW1107" s="69"/>
      <c r="AX1107" s="69"/>
      <c r="AY1107" s="69"/>
      <c r="AZ1107" s="69"/>
      <c r="BA1107" s="69"/>
      <c r="BB1107" s="69"/>
      <c r="BC1107" s="69"/>
      <c r="BD1107" s="69"/>
      <c r="BE1107" s="69"/>
      <c r="BF1107" s="55"/>
      <c r="BG1107" s="70"/>
      <c r="BH1107" s="63"/>
      <c r="BI1107" s="63"/>
      <c r="BJ1107" s="70"/>
      <c r="BK1107" s="203">
        <f t="shared" si="49"/>
        <v>0</v>
      </c>
      <c r="BL1107" s="63"/>
      <c r="BM1107" s="71"/>
      <c r="BN1107" s="71"/>
      <c r="BO1107" s="71"/>
    </row>
    <row r="1108" spans="2:67" ht="18.95" customHeight="1">
      <c r="B1108" s="51" t="s">
        <v>297</v>
      </c>
      <c r="C1108" s="52" t="s">
        <v>1072</v>
      </c>
      <c r="D1108" s="53"/>
      <c r="E1108" s="207"/>
      <c r="F1108" s="66"/>
      <c r="G1108" s="66"/>
      <c r="H1108" s="66"/>
      <c r="I1108" s="66"/>
      <c r="J1108" s="66"/>
      <c r="K1108" s="66"/>
      <c r="L1108" s="66"/>
      <c r="M1108" s="66"/>
      <c r="N1108" s="67"/>
      <c r="O1108" s="66"/>
      <c r="P1108" s="66"/>
      <c r="Q1108" s="66"/>
      <c r="R1108" s="66"/>
      <c r="S1108" s="66"/>
      <c r="T1108" s="66"/>
      <c r="U1108" s="66"/>
      <c r="V1108" s="66"/>
      <c r="W1108" s="66"/>
      <c r="X1108" s="66"/>
      <c r="Y1108" s="66"/>
      <c r="Z1108" s="66"/>
      <c r="AA1108" s="66"/>
      <c r="AB1108" s="66"/>
      <c r="AC1108" s="66"/>
      <c r="AD1108" s="66"/>
      <c r="AE1108" s="66"/>
      <c r="AF1108" s="66"/>
      <c r="AG1108" s="66"/>
      <c r="AH1108" s="66"/>
      <c r="AI1108" s="66"/>
      <c r="AJ1108" s="66"/>
      <c r="AK1108" s="66"/>
      <c r="AL1108" s="66"/>
      <c r="AM1108" s="66"/>
      <c r="AN1108" s="66"/>
      <c r="AO1108" s="66"/>
      <c r="AP1108" s="66"/>
      <c r="AQ1108" s="66"/>
      <c r="AR1108" s="68"/>
      <c r="AS1108" s="66"/>
      <c r="AT1108" s="66"/>
      <c r="AU1108" s="66"/>
      <c r="AV1108" s="69"/>
      <c r="AW1108" s="69"/>
      <c r="AX1108" s="69"/>
      <c r="AY1108" s="69"/>
      <c r="AZ1108" s="69"/>
      <c r="BA1108" s="69"/>
      <c r="BB1108" s="69"/>
      <c r="BC1108" s="69"/>
      <c r="BD1108" s="69"/>
      <c r="BE1108" s="69"/>
      <c r="BF1108" s="55"/>
      <c r="BG1108" s="70"/>
      <c r="BH1108" s="63"/>
      <c r="BI1108" s="63"/>
      <c r="BJ1108" s="70"/>
      <c r="BK1108" s="203">
        <f t="shared" si="49"/>
        <v>0</v>
      </c>
      <c r="BL1108" s="63"/>
      <c r="BM1108" s="71"/>
      <c r="BN1108" s="71"/>
      <c r="BO1108" s="71"/>
    </row>
    <row r="1109" spans="2:67" ht="18.95" customHeight="1">
      <c r="B1109" s="51" t="s">
        <v>299</v>
      </c>
      <c r="C1109" s="52" t="s">
        <v>1072</v>
      </c>
      <c r="D1109" s="53"/>
      <c r="E1109" s="207"/>
      <c r="F1109" s="66"/>
      <c r="G1109" s="66"/>
      <c r="H1109" s="66"/>
      <c r="I1109" s="66"/>
      <c r="J1109" s="66"/>
      <c r="K1109" s="66"/>
      <c r="L1109" s="66"/>
      <c r="M1109" s="66"/>
      <c r="N1109" s="67"/>
      <c r="O1109" s="66"/>
      <c r="P1109" s="66"/>
      <c r="Q1109" s="66"/>
      <c r="R1109" s="66"/>
      <c r="S1109" s="66"/>
      <c r="T1109" s="66"/>
      <c r="U1109" s="66"/>
      <c r="V1109" s="66"/>
      <c r="W1109" s="66"/>
      <c r="X1109" s="66"/>
      <c r="Y1109" s="66"/>
      <c r="Z1109" s="66"/>
      <c r="AA1109" s="66"/>
      <c r="AB1109" s="66"/>
      <c r="AC1109" s="66"/>
      <c r="AD1109" s="66"/>
      <c r="AE1109" s="66"/>
      <c r="AF1109" s="66"/>
      <c r="AG1109" s="66"/>
      <c r="AH1109" s="66"/>
      <c r="AI1109" s="66"/>
      <c r="AJ1109" s="66"/>
      <c r="AK1109" s="66"/>
      <c r="AL1109" s="66"/>
      <c r="AM1109" s="66"/>
      <c r="AN1109" s="66"/>
      <c r="AO1109" s="66"/>
      <c r="AP1109" s="66"/>
      <c r="AQ1109" s="66"/>
      <c r="AR1109" s="68"/>
      <c r="AS1109" s="66"/>
      <c r="AT1109" s="66"/>
      <c r="AU1109" s="66"/>
      <c r="AV1109" s="69"/>
      <c r="AW1109" s="69"/>
      <c r="AX1109" s="69"/>
      <c r="AY1109" s="69"/>
      <c r="AZ1109" s="69"/>
      <c r="BA1109" s="69"/>
      <c r="BB1109" s="69"/>
      <c r="BC1109" s="69"/>
      <c r="BD1109" s="69"/>
      <c r="BE1109" s="69"/>
      <c r="BF1109" s="55"/>
      <c r="BG1109" s="70"/>
      <c r="BH1109" s="63"/>
      <c r="BI1109" s="63"/>
      <c r="BJ1109" s="70"/>
      <c r="BK1109" s="203">
        <f t="shared" si="49"/>
        <v>0</v>
      </c>
      <c r="BL1109" s="63"/>
      <c r="BM1109" s="71"/>
      <c r="BN1109" s="71"/>
      <c r="BO1109" s="71"/>
    </row>
    <row r="1110" spans="2:67" ht="18.95" customHeight="1">
      <c r="B1110" s="51" t="s">
        <v>301</v>
      </c>
      <c r="C1110" s="52" t="s">
        <v>1072</v>
      </c>
      <c r="D1110" s="53"/>
      <c r="E1110" s="207"/>
      <c r="F1110" s="66"/>
      <c r="G1110" s="66"/>
      <c r="H1110" s="66"/>
      <c r="I1110" s="66"/>
      <c r="J1110" s="66"/>
      <c r="K1110" s="66"/>
      <c r="L1110" s="66"/>
      <c r="M1110" s="66"/>
      <c r="N1110" s="67"/>
      <c r="O1110" s="66"/>
      <c r="P1110" s="66"/>
      <c r="Q1110" s="66"/>
      <c r="R1110" s="66"/>
      <c r="S1110" s="66"/>
      <c r="T1110" s="66"/>
      <c r="U1110" s="66"/>
      <c r="V1110" s="66"/>
      <c r="W1110" s="66"/>
      <c r="X1110" s="66"/>
      <c r="Y1110" s="66"/>
      <c r="Z1110" s="66"/>
      <c r="AA1110" s="66"/>
      <c r="AB1110" s="66"/>
      <c r="AC1110" s="66"/>
      <c r="AD1110" s="66"/>
      <c r="AE1110" s="66"/>
      <c r="AF1110" s="66"/>
      <c r="AG1110" s="66"/>
      <c r="AH1110" s="66"/>
      <c r="AI1110" s="66"/>
      <c r="AJ1110" s="66"/>
      <c r="AK1110" s="66"/>
      <c r="AL1110" s="66"/>
      <c r="AM1110" s="66"/>
      <c r="AN1110" s="66"/>
      <c r="AO1110" s="66"/>
      <c r="AP1110" s="66"/>
      <c r="AQ1110" s="66"/>
      <c r="AR1110" s="68"/>
      <c r="AS1110" s="66"/>
      <c r="AT1110" s="66"/>
      <c r="AU1110" s="66"/>
      <c r="AV1110" s="69"/>
      <c r="AW1110" s="69"/>
      <c r="AX1110" s="69"/>
      <c r="AY1110" s="69"/>
      <c r="AZ1110" s="69"/>
      <c r="BA1110" s="69"/>
      <c r="BB1110" s="69"/>
      <c r="BC1110" s="69"/>
      <c r="BD1110" s="69"/>
      <c r="BE1110" s="69"/>
      <c r="BF1110" s="55"/>
      <c r="BG1110" s="70"/>
      <c r="BH1110" s="63"/>
      <c r="BI1110" s="63"/>
      <c r="BJ1110" s="70"/>
      <c r="BK1110" s="203">
        <f t="shared" si="49"/>
        <v>0</v>
      </c>
      <c r="BL1110" s="63"/>
      <c r="BM1110" s="71"/>
      <c r="BN1110" s="71"/>
      <c r="BO1110" s="71"/>
    </row>
    <row r="1111" spans="2:67" ht="18.95" customHeight="1">
      <c r="B1111" s="51" t="s">
        <v>303</v>
      </c>
      <c r="C1111" s="52" t="s">
        <v>1072</v>
      </c>
      <c r="D1111" s="53"/>
      <c r="E1111" s="207"/>
      <c r="F1111" s="66"/>
      <c r="G1111" s="66"/>
      <c r="H1111" s="66"/>
      <c r="I1111" s="66"/>
      <c r="J1111" s="66"/>
      <c r="K1111" s="66"/>
      <c r="L1111" s="66"/>
      <c r="M1111" s="66"/>
      <c r="N1111" s="67"/>
      <c r="O1111" s="66"/>
      <c r="P1111" s="66"/>
      <c r="Q1111" s="66"/>
      <c r="R1111" s="66"/>
      <c r="S1111" s="66"/>
      <c r="T1111" s="66"/>
      <c r="U1111" s="66"/>
      <c r="V1111" s="66"/>
      <c r="W1111" s="66"/>
      <c r="X1111" s="66"/>
      <c r="Y1111" s="66"/>
      <c r="Z1111" s="66"/>
      <c r="AA1111" s="66"/>
      <c r="AB1111" s="66"/>
      <c r="AC1111" s="66"/>
      <c r="AD1111" s="66"/>
      <c r="AE1111" s="66"/>
      <c r="AF1111" s="66"/>
      <c r="AG1111" s="66"/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66"/>
      <c r="AR1111" s="68"/>
      <c r="AS1111" s="66"/>
      <c r="AT1111" s="66"/>
      <c r="AU1111" s="66"/>
      <c r="AV1111" s="69"/>
      <c r="AW1111" s="69"/>
      <c r="AX1111" s="69"/>
      <c r="AY1111" s="69"/>
      <c r="AZ1111" s="69"/>
      <c r="BA1111" s="69"/>
      <c r="BB1111" s="69"/>
      <c r="BC1111" s="69"/>
      <c r="BD1111" s="69"/>
      <c r="BE1111" s="69"/>
      <c r="BF1111" s="55"/>
      <c r="BG1111" s="70"/>
      <c r="BH1111" s="63"/>
      <c r="BI1111" s="63"/>
      <c r="BJ1111" s="70"/>
      <c r="BK1111" s="203">
        <f t="shared" si="49"/>
        <v>0</v>
      </c>
      <c r="BL1111" s="63"/>
      <c r="BM1111" s="71"/>
      <c r="BN1111" s="71"/>
      <c r="BO1111" s="71"/>
    </row>
    <row r="1112" spans="2:67" ht="18.95" customHeight="1">
      <c r="B1112" s="51" t="s">
        <v>305</v>
      </c>
      <c r="C1112" s="52" t="s">
        <v>1072</v>
      </c>
      <c r="D1112" s="53"/>
      <c r="E1112" s="207"/>
      <c r="F1112" s="66"/>
      <c r="G1112" s="66"/>
      <c r="H1112" s="66"/>
      <c r="I1112" s="66"/>
      <c r="J1112" s="66"/>
      <c r="K1112" s="66"/>
      <c r="L1112" s="66"/>
      <c r="M1112" s="66"/>
      <c r="N1112" s="67"/>
      <c r="O1112" s="66"/>
      <c r="P1112" s="66"/>
      <c r="Q1112" s="66"/>
      <c r="R1112" s="66"/>
      <c r="S1112" s="66"/>
      <c r="T1112" s="66"/>
      <c r="U1112" s="66"/>
      <c r="V1112" s="66"/>
      <c r="W1112" s="66"/>
      <c r="X1112" s="66"/>
      <c r="Y1112" s="66"/>
      <c r="Z1112" s="66"/>
      <c r="AA1112" s="66"/>
      <c r="AB1112" s="66"/>
      <c r="AC1112" s="66"/>
      <c r="AD1112" s="66"/>
      <c r="AE1112" s="66"/>
      <c r="AF1112" s="66"/>
      <c r="AG1112" s="66"/>
      <c r="AH1112" s="66"/>
      <c r="AI1112" s="66"/>
      <c r="AJ1112" s="66"/>
      <c r="AK1112" s="66"/>
      <c r="AL1112" s="66"/>
      <c r="AM1112" s="66"/>
      <c r="AN1112" s="66"/>
      <c r="AO1112" s="66"/>
      <c r="AP1112" s="66"/>
      <c r="AQ1112" s="66"/>
      <c r="AR1112" s="68"/>
      <c r="AS1112" s="66"/>
      <c r="AT1112" s="66"/>
      <c r="AU1112" s="66"/>
      <c r="AV1112" s="69"/>
      <c r="AW1112" s="69"/>
      <c r="AX1112" s="69"/>
      <c r="AY1112" s="69"/>
      <c r="AZ1112" s="69"/>
      <c r="BA1112" s="69"/>
      <c r="BB1112" s="69"/>
      <c r="BC1112" s="69"/>
      <c r="BD1112" s="69"/>
      <c r="BE1112" s="69"/>
      <c r="BF1112" s="55"/>
      <c r="BG1112" s="70"/>
      <c r="BH1112" s="63"/>
      <c r="BI1112" s="63"/>
      <c r="BJ1112" s="70"/>
      <c r="BK1112" s="203">
        <f t="shared" si="49"/>
        <v>0</v>
      </c>
      <c r="BL1112" s="63"/>
      <c r="BM1112" s="71"/>
      <c r="BN1112" s="71"/>
      <c r="BO1112" s="71"/>
    </row>
    <row r="1113" spans="2:67" ht="18.75" customHeight="1">
      <c r="B1113" s="51" t="s">
        <v>308</v>
      </c>
      <c r="C1113" s="52" t="s">
        <v>1072</v>
      </c>
      <c r="D1113" s="53"/>
      <c r="E1113" s="209"/>
      <c r="F1113" s="66"/>
      <c r="G1113" s="66"/>
      <c r="H1113" s="66"/>
      <c r="I1113" s="66"/>
      <c r="J1113" s="66"/>
      <c r="K1113" s="66"/>
      <c r="L1113" s="66"/>
      <c r="M1113" s="66"/>
      <c r="N1113" s="67"/>
      <c r="O1113" s="66"/>
      <c r="P1113" s="66"/>
      <c r="Q1113" s="66"/>
      <c r="R1113" s="66"/>
      <c r="S1113" s="66"/>
      <c r="T1113" s="66"/>
      <c r="U1113" s="66"/>
      <c r="V1113" s="66"/>
      <c r="W1113" s="66"/>
      <c r="X1113" s="66"/>
      <c r="Y1113" s="66"/>
      <c r="Z1113" s="66"/>
      <c r="AA1113" s="66"/>
      <c r="AB1113" s="66"/>
      <c r="AC1113" s="66"/>
      <c r="AD1113" s="66"/>
      <c r="AE1113" s="66"/>
      <c r="AF1113" s="66"/>
      <c r="AG1113" s="66"/>
      <c r="AH1113" s="66"/>
      <c r="AI1113" s="66"/>
      <c r="AJ1113" s="66"/>
      <c r="AK1113" s="66"/>
      <c r="AL1113" s="66"/>
      <c r="AM1113" s="66"/>
      <c r="AN1113" s="66"/>
      <c r="AO1113" s="66"/>
      <c r="AP1113" s="66"/>
      <c r="AQ1113" s="66"/>
      <c r="AR1113" s="68"/>
      <c r="AS1113" s="66"/>
      <c r="AT1113" s="66"/>
      <c r="AU1113" s="66"/>
      <c r="AV1113" s="69"/>
      <c r="AW1113" s="69"/>
      <c r="AX1113" s="69"/>
      <c r="AY1113" s="69"/>
      <c r="AZ1113" s="69"/>
      <c r="BA1113" s="69"/>
      <c r="BB1113" s="69"/>
      <c r="BC1113" s="69"/>
      <c r="BD1113" s="69"/>
      <c r="BE1113" s="69"/>
      <c r="BF1113" s="55"/>
      <c r="BG1113" s="70"/>
      <c r="BH1113" s="63"/>
      <c r="BI1113" s="63"/>
      <c r="BJ1113" s="70"/>
      <c r="BK1113" s="203">
        <f t="shared" si="49"/>
        <v>0</v>
      </c>
      <c r="BL1113" s="63"/>
      <c r="BM1113" s="71"/>
      <c r="BN1113" s="71"/>
      <c r="BO1113" s="71"/>
    </row>
    <row r="1114" spans="2:67" ht="18.95" customHeight="1">
      <c r="B1114" s="51" t="s">
        <v>310</v>
      </c>
      <c r="C1114" s="52" t="s">
        <v>1072</v>
      </c>
      <c r="D1114" s="53"/>
      <c r="E1114" s="210"/>
      <c r="F1114" s="66"/>
      <c r="G1114" s="66"/>
      <c r="H1114" s="66"/>
      <c r="I1114" s="66"/>
      <c r="J1114" s="66"/>
      <c r="K1114" s="66"/>
      <c r="L1114" s="66"/>
      <c r="M1114" s="66"/>
      <c r="N1114" s="67"/>
      <c r="O1114" s="66"/>
      <c r="P1114" s="66"/>
      <c r="Q1114" s="66"/>
      <c r="R1114" s="66"/>
      <c r="S1114" s="66"/>
      <c r="T1114" s="66"/>
      <c r="U1114" s="66"/>
      <c r="V1114" s="66"/>
      <c r="W1114" s="66"/>
      <c r="X1114" s="66"/>
      <c r="Y1114" s="66"/>
      <c r="Z1114" s="66"/>
      <c r="AA1114" s="66"/>
      <c r="AB1114" s="66"/>
      <c r="AC1114" s="66"/>
      <c r="AD1114" s="66"/>
      <c r="AE1114" s="66"/>
      <c r="AF1114" s="66"/>
      <c r="AG1114" s="66"/>
      <c r="AH1114" s="66"/>
      <c r="AI1114" s="66"/>
      <c r="AJ1114" s="66"/>
      <c r="AK1114" s="66"/>
      <c r="AL1114" s="66"/>
      <c r="AM1114" s="66"/>
      <c r="AN1114" s="66"/>
      <c r="AO1114" s="66"/>
      <c r="AP1114" s="66"/>
      <c r="AQ1114" s="66"/>
      <c r="AR1114" s="68"/>
      <c r="AS1114" s="66"/>
      <c r="AT1114" s="66"/>
      <c r="AU1114" s="66"/>
      <c r="AV1114" s="69"/>
      <c r="AW1114" s="69"/>
      <c r="AX1114" s="69"/>
      <c r="AY1114" s="69"/>
      <c r="AZ1114" s="69"/>
      <c r="BA1114" s="69"/>
      <c r="BB1114" s="69"/>
      <c r="BC1114" s="69"/>
      <c r="BD1114" s="69"/>
      <c r="BE1114" s="69"/>
      <c r="BF1114" s="55"/>
      <c r="BG1114" s="70"/>
      <c r="BH1114" s="63"/>
      <c r="BI1114" s="63"/>
      <c r="BJ1114" s="70"/>
      <c r="BK1114" s="203">
        <f t="shared" si="49"/>
        <v>0</v>
      </c>
      <c r="BL1114" s="63"/>
      <c r="BM1114" s="71"/>
      <c r="BN1114" s="71"/>
      <c r="BO1114" s="71"/>
    </row>
    <row r="1115" spans="2:67" ht="18.95" customHeight="1">
      <c r="B1115" s="51" t="s">
        <v>312</v>
      </c>
      <c r="C1115" s="52" t="s">
        <v>1072</v>
      </c>
      <c r="D1115" s="53"/>
      <c r="E1115" s="209"/>
      <c r="F1115" s="66"/>
      <c r="G1115" s="66"/>
      <c r="H1115" s="66"/>
      <c r="I1115" s="66"/>
      <c r="J1115" s="66"/>
      <c r="K1115" s="66"/>
      <c r="L1115" s="66"/>
      <c r="M1115" s="66"/>
      <c r="N1115" s="67"/>
      <c r="O1115" s="66"/>
      <c r="P1115" s="66"/>
      <c r="Q1115" s="66"/>
      <c r="R1115" s="66"/>
      <c r="S1115" s="66"/>
      <c r="T1115" s="66"/>
      <c r="U1115" s="66"/>
      <c r="V1115" s="66"/>
      <c r="W1115" s="66"/>
      <c r="X1115" s="66"/>
      <c r="Y1115" s="66"/>
      <c r="Z1115" s="66"/>
      <c r="AA1115" s="66"/>
      <c r="AB1115" s="66"/>
      <c r="AC1115" s="66"/>
      <c r="AD1115" s="66"/>
      <c r="AE1115" s="66"/>
      <c r="AF1115" s="66"/>
      <c r="AG1115" s="66"/>
      <c r="AH1115" s="66"/>
      <c r="AI1115" s="66"/>
      <c r="AJ1115" s="66"/>
      <c r="AK1115" s="66"/>
      <c r="AL1115" s="66"/>
      <c r="AM1115" s="66"/>
      <c r="AN1115" s="66"/>
      <c r="AO1115" s="66"/>
      <c r="AP1115" s="66"/>
      <c r="AQ1115" s="66"/>
      <c r="AR1115" s="68"/>
      <c r="AS1115" s="66"/>
      <c r="AT1115" s="66"/>
      <c r="AU1115" s="66"/>
      <c r="AV1115" s="69"/>
      <c r="AW1115" s="69"/>
      <c r="AX1115" s="69"/>
      <c r="AY1115" s="69"/>
      <c r="AZ1115" s="69"/>
      <c r="BA1115" s="69"/>
      <c r="BB1115" s="69"/>
      <c r="BC1115" s="69"/>
      <c r="BD1115" s="69"/>
      <c r="BE1115" s="69"/>
      <c r="BF1115" s="55"/>
      <c r="BG1115" s="70"/>
      <c r="BH1115" s="63"/>
      <c r="BI1115" s="63"/>
      <c r="BJ1115" s="70"/>
      <c r="BK1115" s="203">
        <f t="shared" si="49"/>
        <v>0</v>
      </c>
      <c r="BL1115" s="63"/>
      <c r="BM1115" s="71"/>
      <c r="BN1115" s="71"/>
      <c r="BO1115" s="71"/>
    </row>
    <row r="1116" spans="2:67" ht="18.95" customHeight="1">
      <c r="B1116" s="51" t="s">
        <v>314</v>
      </c>
      <c r="C1116" s="52" t="s">
        <v>1072</v>
      </c>
      <c r="D1116" s="53"/>
      <c r="E1116" s="209"/>
      <c r="F1116" s="66"/>
      <c r="G1116" s="66"/>
      <c r="H1116" s="66"/>
      <c r="I1116" s="66"/>
      <c r="J1116" s="66"/>
      <c r="K1116" s="66"/>
      <c r="L1116" s="66"/>
      <c r="M1116" s="66"/>
      <c r="N1116" s="67"/>
      <c r="O1116" s="66"/>
      <c r="P1116" s="66"/>
      <c r="Q1116" s="66"/>
      <c r="R1116" s="66"/>
      <c r="S1116" s="66"/>
      <c r="T1116" s="66"/>
      <c r="U1116" s="66"/>
      <c r="V1116" s="66"/>
      <c r="W1116" s="66"/>
      <c r="X1116" s="66"/>
      <c r="Y1116" s="66"/>
      <c r="Z1116" s="66"/>
      <c r="AA1116" s="66"/>
      <c r="AB1116" s="66"/>
      <c r="AC1116" s="66"/>
      <c r="AD1116" s="66"/>
      <c r="AE1116" s="66"/>
      <c r="AF1116" s="66"/>
      <c r="AG1116" s="66"/>
      <c r="AH1116" s="66"/>
      <c r="AI1116" s="66"/>
      <c r="AJ1116" s="66"/>
      <c r="AK1116" s="66"/>
      <c r="AL1116" s="75"/>
      <c r="AM1116" s="66"/>
      <c r="AN1116" s="66"/>
      <c r="AO1116" s="66"/>
      <c r="AP1116" s="66"/>
      <c r="AQ1116" s="66"/>
      <c r="AR1116" s="68"/>
      <c r="AS1116" s="66"/>
      <c r="AT1116" s="66"/>
      <c r="AU1116" s="66"/>
      <c r="AV1116" s="69"/>
      <c r="AW1116" s="69"/>
      <c r="AX1116" s="69"/>
      <c r="AY1116" s="69"/>
      <c r="AZ1116" s="69"/>
      <c r="BA1116" s="69"/>
      <c r="BB1116" s="69"/>
      <c r="BC1116" s="69"/>
      <c r="BD1116" s="69"/>
      <c r="BE1116" s="69"/>
      <c r="BF1116" s="55"/>
      <c r="BG1116" s="70"/>
      <c r="BH1116" s="63"/>
      <c r="BI1116" s="63"/>
      <c r="BJ1116" s="70"/>
      <c r="BK1116" s="203">
        <f t="shared" si="49"/>
        <v>0</v>
      </c>
      <c r="BL1116" s="63"/>
      <c r="BM1116" s="71"/>
      <c r="BN1116" s="71"/>
      <c r="BO1116" s="71"/>
    </row>
    <row r="1117" spans="2:67" ht="30" customHeight="1">
      <c r="B1117" s="51" t="s">
        <v>316</v>
      </c>
      <c r="C1117" s="52" t="s">
        <v>1072</v>
      </c>
      <c r="D1117" s="53"/>
      <c r="E1117" s="213"/>
      <c r="F1117" s="66"/>
      <c r="G1117" s="66"/>
      <c r="H1117" s="66"/>
      <c r="I1117" s="66"/>
      <c r="J1117" s="66"/>
      <c r="K1117" s="66"/>
      <c r="L1117" s="66"/>
      <c r="M1117" s="66"/>
      <c r="N1117" s="67"/>
      <c r="O1117" s="66"/>
      <c r="P1117" s="66"/>
      <c r="Q1117" s="66"/>
      <c r="R1117" s="66"/>
      <c r="S1117" s="66"/>
      <c r="T1117" s="66"/>
      <c r="U1117" s="66"/>
      <c r="V1117" s="66"/>
      <c r="W1117" s="66"/>
      <c r="X1117" s="66"/>
      <c r="Y1117" s="66"/>
      <c r="Z1117" s="66"/>
      <c r="AA1117" s="66"/>
      <c r="AB1117" s="66"/>
      <c r="AC1117" s="66"/>
      <c r="AD1117" s="66"/>
      <c r="AE1117" s="66"/>
      <c r="AF1117" s="66"/>
      <c r="AG1117" s="66"/>
      <c r="AH1117" s="66"/>
      <c r="AI1117" s="66"/>
      <c r="AJ1117" s="66"/>
      <c r="AK1117" s="66"/>
      <c r="AL1117" s="75"/>
      <c r="AM1117" s="66"/>
      <c r="AN1117" s="66"/>
      <c r="AO1117" s="66"/>
      <c r="AP1117" s="66"/>
      <c r="AQ1117" s="66"/>
      <c r="AR1117" s="68"/>
      <c r="AS1117" s="66"/>
      <c r="AT1117" s="66"/>
      <c r="AU1117" s="66"/>
      <c r="AV1117" s="69"/>
      <c r="AW1117" s="69"/>
      <c r="AX1117" s="69"/>
      <c r="AY1117" s="69"/>
      <c r="AZ1117" s="69"/>
      <c r="BA1117" s="69"/>
      <c r="BB1117" s="69"/>
      <c r="BC1117" s="69"/>
      <c r="BD1117" s="69"/>
      <c r="BE1117" s="69"/>
      <c r="BF1117" s="55"/>
      <c r="BG1117" s="70"/>
      <c r="BH1117" s="63"/>
      <c r="BI1117" s="63"/>
      <c r="BJ1117" s="70"/>
      <c r="BK1117" s="203">
        <f t="shared" si="49"/>
        <v>0</v>
      </c>
      <c r="BL1117" s="63"/>
      <c r="BM1117" s="71"/>
      <c r="BN1117" s="71"/>
      <c r="BO1117" s="71"/>
    </row>
    <row r="1118" spans="2:67" ht="18.95" customHeight="1">
      <c r="B1118" s="51" t="s">
        <v>318</v>
      </c>
      <c r="C1118" s="52" t="s">
        <v>1072</v>
      </c>
      <c r="D1118" s="53"/>
      <c r="E1118" s="209"/>
      <c r="F1118" s="66"/>
      <c r="G1118" s="66"/>
      <c r="H1118" s="66"/>
      <c r="I1118" s="66"/>
      <c r="J1118" s="66"/>
      <c r="K1118" s="66"/>
      <c r="L1118" s="66"/>
      <c r="M1118" s="66"/>
      <c r="N1118" s="67"/>
      <c r="O1118" s="66"/>
      <c r="P1118" s="66"/>
      <c r="Q1118" s="66"/>
      <c r="R1118" s="66"/>
      <c r="S1118" s="66"/>
      <c r="T1118" s="66"/>
      <c r="U1118" s="66"/>
      <c r="V1118" s="66"/>
      <c r="W1118" s="66"/>
      <c r="X1118" s="66"/>
      <c r="Y1118" s="66"/>
      <c r="Z1118" s="66"/>
      <c r="AA1118" s="66"/>
      <c r="AB1118" s="66"/>
      <c r="AC1118" s="66"/>
      <c r="AD1118" s="66"/>
      <c r="AE1118" s="66"/>
      <c r="AF1118" s="66"/>
      <c r="AG1118" s="66"/>
      <c r="AH1118" s="66"/>
      <c r="AI1118" s="66"/>
      <c r="AJ1118" s="66"/>
      <c r="AK1118" s="66"/>
      <c r="AL1118" s="66"/>
      <c r="AM1118" s="66"/>
      <c r="AN1118" s="66"/>
      <c r="AO1118" s="66"/>
      <c r="AP1118" s="66"/>
      <c r="AQ1118" s="66"/>
      <c r="AR1118" s="68"/>
      <c r="AS1118" s="66"/>
      <c r="AT1118" s="66"/>
      <c r="AU1118" s="66"/>
      <c r="AV1118" s="69"/>
      <c r="AW1118" s="69"/>
      <c r="AX1118" s="69"/>
      <c r="AY1118" s="69"/>
      <c r="AZ1118" s="69"/>
      <c r="BA1118" s="69"/>
      <c r="BB1118" s="69"/>
      <c r="BC1118" s="69"/>
      <c r="BD1118" s="69"/>
      <c r="BE1118" s="69"/>
      <c r="BF1118" s="55"/>
      <c r="BG1118" s="70"/>
      <c r="BH1118" s="63"/>
      <c r="BI1118" s="63"/>
      <c r="BJ1118" s="70"/>
      <c r="BK1118" s="203">
        <f t="shared" si="49"/>
        <v>0</v>
      </c>
      <c r="BL1118" s="63"/>
      <c r="BM1118" s="71"/>
      <c r="BN1118" s="65"/>
      <c r="BO1118" s="65"/>
    </row>
    <row r="1119" spans="2:67" ht="18.95" customHeight="1">
      <c r="B1119" s="51" t="s">
        <v>320</v>
      </c>
      <c r="C1119" s="52" t="s">
        <v>1072</v>
      </c>
      <c r="D1119" s="53"/>
      <c r="E1119" s="209"/>
      <c r="F1119" s="55"/>
      <c r="G1119" s="66"/>
      <c r="H1119" s="66"/>
      <c r="I1119" s="66"/>
      <c r="J1119" s="66"/>
      <c r="K1119" s="66"/>
      <c r="L1119" s="66"/>
      <c r="M1119" s="66"/>
      <c r="N1119" s="67"/>
      <c r="O1119" s="66"/>
      <c r="P1119" s="66"/>
      <c r="Q1119" s="66"/>
      <c r="R1119" s="66"/>
      <c r="S1119" s="66"/>
      <c r="T1119" s="66"/>
      <c r="U1119" s="66"/>
      <c r="V1119" s="66"/>
      <c r="W1119" s="66"/>
      <c r="X1119" s="66"/>
      <c r="Y1119" s="66"/>
      <c r="Z1119" s="66"/>
      <c r="AA1119" s="66"/>
      <c r="AB1119" s="66"/>
      <c r="AC1119" s="66"/>
      <c r="AD1119" s="66"/>
      <c r="AE1119" s="66"/>
      <c r="AF1119" s="66"/>
      <c r="AG1119" s="66"/>
      <c r="AH1119" s="66"/>
      <c r="AI1119" s="66"/>
      <c r="AJ1119" s="66"/>
      <c r="AK1119" s="66"/>
      <c r="AL1119" s="75"/>
      <c r="AM1119" s="66"/>
      <c r="AN1119" s="66"/>
      <c r="AO1119" s="66"/>
      <c r="AP1119" s="66"/>
      <c r="AQ1119" s="66"/>
      <c r="AR1119" s="68"/>
      <c r="AS1119" s="66"/>
      <c r="AT1119" s="66"/>
      <c r="AU1119" s="66"/>
      <c r="AV1119" s="69"/>
      <c r="AW1119" s="69"/>
      <c r="AX1119" s="69"/>
      <c r="AY1119" s="69"/>
      <c r="AZ1119" s="69"/>
      <c r="BA1119" s="69"/>
      <c r="BB1119" s="69"/>
      <c r="BC1119" s="69"/>
      <c r="BD1119" s="69"/>
      <c r="BE1119" s="69"/>
      <c r="BF1119" s="55"/>
      <c r="BG1119" s="70"/>
      <c r="BH1119" s="63"/>
      <c r="BI1119" s="63"/>
      <c r="BJ1119" s="70"/>
      <c r="BK1119" s="203">
        <f t="shared" si="49"/>
        <v>0</v>
      </c>
      <c r="BL1119" s="63"/>
      <c r="BM1119" s="71"/>
      <c r="BN1119" s="65"/>
      <c r="BO1119" s="65"/>
    </row>
    <row r="1120" spans="2:67" ht="18.95" customHeight="1">
      <c r="B1120" s="51" t="s">
        <v>322</v>
      </c>
      <c r="C1120" s="52" t="s">
        <v>1072</v>
      </c>
      <c r="D1120" s="53"/>
      <c r="E1120" s="209"/>
      <c r="F1120" s="66"/>
      <c r="G1120" s="66"/>
      <c r="H1120" s="66"/>
      <c r="I1120" s="66"/>
      <c r="J1120" s="66"/>
      <c r="K1120" s="66"/>
      <c r="L1120" s="66"/>
      <c r="M1120" s="66"/>
      <c r="N1120" s="67"/>
      <c r="O1120" s="66"/>
      <c r="P1120" s="66"/>
      <c r="Q1120" s="66"/>
      <c r="R1120" s="66"/>
      <c r="S1120" s="66"/>
      <c r="T1120" s="66"/>
      <c r="U1120" s="66"/>
      <c r="V1120" s="66"/>
      <c r="W1120" s="66"/>
      <c r="X1120" s="66"/>
      <c r="Y1120" s="66"/>
      <c r="Z1120" s="66"/>
      <c r="AA1120" s="66"/>
      <c r="AB1120" s="66"/>
      <c r="AC1120" s="66"/>
      <c r="AD1120" s="66"/>
      <c r="AE1120" s="66"/>
      <c r="AF1120" s="66"/>
      <c r="AG1120" s="66"/>
      <c r="AH1120" s="66"/>
      <c r="AI1120" s="66"/>
      <c r="AJ1120" s="66"/>
      <c r="AK1120" s="66"/>
      <c r="AL1120" s="66"/>
      <c r="AM1120" s="66"/>
      <c r="AN1120" s="66"/>
      <c r="AO1120" s="66"/>
      <c r="AP1120" s="66"/>
      <c r="AQ1120" s="66"/>
      <c r="AR1120" s="68"/>
      <c r="AS1120" s="66"/>
      <c r="AT1120" s="66"/>
      <c r="AU1120" s="66"/>
      <c r="AV1120" s="69"/>
      <c r="AW1120" s="69"/>
      <c r="AX1120" s="69"/>
      <c r="AY1120" s="69"/>
      <c r="AZ1120" s="69"/>
      <c r="BA1120" s="69"/>
      <c r="BB1120" s="69"/>
      <c r="BC1120" s="69"/>
      <c r="BD1120" s="69"/>
      <c r="BE1120" s="69"/>
      <c r="BF1120" s="55"/>
      <c r="BG1120" s="70"/>
      <c r="BH1120" s="63"/>
      <c r="BI1120" s="63"/>
      <c r="BJ1120" s="70"/>
      <c r="BK1120" s="203">
        <f t="shared" si="49"/>
        <v>0</v>
      </c>
      <c r="BL1120" s="63"/>
      <c r="BM1120" s="71"/>
      <c r="BN1120" s="71"/>
      <c r="BO1120" s="71"/>
    </row>
    <row r="1121" spans="2:67" ht="18.95" customHeight="1">
      <c r="B1121" s="51" t="s">
        <v>324</v>
      </c>
      <c r="C1121" s="52" t="s">
        <v>1072</v>
      </c>
      <c r="D1121" s="53"/>
      <c r="E1121" s="210"/>
      <c r="F1121" s="55"/>
      <c r="G1121" s="55"/>
      <c r="H1121" s="55"/>
      <c r="I1121" s="55"/>
      <c r="J1121" s="55"/>
      <c r="K1121" s="55"/>
      <c r="L1121" s="55"/>
      <c r="M1121" s="55"/>
      <c r="N1121" s="56"/>
      <c r="O1121" s="55"/>
      <c r="P1121" s="55"/>
      <c r="Q1121" s="55"/>
      <c r="R1121" s="55"/>
      <c r="S1121" s="55"/>
      <c r="T1121" s="55"/>
      <c r="U1121" s="55"/>
      <c r="V1121" s="55"/>
      <c r="W1121" s="55"/>
      <c r="X1121" s="55"/>
      <c r="Y1121" s="55"/>
      <c r="Z1121" s="55"/>
      <c r="AA1121" s="55"/>
      <c r="AB1121" s="55"/>
      <c r="AC1121" s="55"/>
      <c r="AD1121" s="55"/>
      <c r="AE1121" s="55"/>
      <c r="AF1121" s="55"/>
      <c r="AG1121" s="55"/>
      <c r="AH1121" s="55"/>
      <c r="AI1121" s="55"/>
      <c r="AJ1121" s="55"/>
      <c r="AK1121" s="55"/>
      <c r="AL1121" s="55"/>
      <c r="AM1121" s="55"/>
      <c r="AN1121" s="55"/>
      <c r="AO1121" s="55"/>
      <c r="AP1121" s="55"/>
      <c r="AQ1121" s="55"/>
      <c r="AR1121" s="76"/>
      <c r="AS1121" s="55"/>
      <c r="AT1121" s="55"/>
      <c r="AU1121" s="55"/>
      <c r="AV1121" s="55"/>
      <c r="AW1121" s="55"/>
      <c r="AX1121" s="55"/>
      <c r="AY1121" s="55"/>
      <c r="AZ1121" s="55"/>
      <c r="BA1121" s="55"/>
      <c r="BB1121" s="55"/>
      <c r="BC1121" s="55"/>
      <c r="BD1121" s="55"/>
      <c r="BE1121" s="55"/>
      <c r="BF1121" s="55"/>
      <c r="BG1121" s="70"/>
      <c r="BH1121" s="63"/>
      <c r="BI1121" s="63"/>
      <c r="BJ1121" s="70"/>
      <c r="BK1121" s="203">
        <f t="shared" si="49"/>
        <v>0</v>
      </c>
      <c r="BL1121" s="63"/>
      <c r="BM1121" s="71"/>
      <c r="BN1121" s="65"/>
      <c r="BO1121" s="65"/>
    </row>
    <row r="1134" spans="2:67">
      <c r="B1134" s="2" t="s">
        <v>1</v>
      </c>
      <c r="C1134" s="2"/>
      <c r="D1134" s="2"/>
      <c r="E1134" s="2"/>
      <c r="F1134" s="3"/>
      <c r="G1134" s="4"/>
      <c r="H1134" s="4"/>
      <c r="I1134" s="4"/>
      <c r="J1134" s="4"/>
      <c r="K1134" s="4"/>
      <c r="L1134" s="4"/>
      <c r="M1134" s="4"/>
      <c r="N1134" s="107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5"/>
      <c r="AE1134" s="5"/>
      <c r="AF1134" s="5"/>
      <c r="AG1134" s="5"/>
      <c r="AH1134" s="5"/>
      <c r="AI1134" s="5"/>
      <c r="AJ1134" s="5"/>
      <c r="AK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7"/>
      <c r="BI1134" s="7"/>
      <c r="BJ1134" s="5"/>
      <c r="BK1134" s="5"/>
      <c r="BM1134" s="5"/>
      <c r="BN1134" s="5"/>
      <c r="BO1134" s="5"/>
    </row>
    <row r="1135" spans="2:67" ht="18.75" customHeight="1">
      <c r="B1135" s="2"/>
      <c r="C1135" s="2"/>
      <c r="D1135" s="2"/>
      <c r="E1135" s="2"/>
      <c r="F1135" s="1" t="s">
        <v>0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8"/>
      <c r="AV1135" s="8"/>
      <c r="AW1135" s="8"/>
      <c r="AX1135" s="8"/>
      <c r="AY1135" s="8"/>
      <c r="AZ1135" s="8"/>
      <c r="BA1135" s="8"/>
      <c r="BB1135" s="8"/>
      <c r="BC1135" s="8"/>
      <c r="BD1135" s="8"/>
      <c r="BE1135" s="8"/>
      <c r="BF1135" s="9" t="s">
        <v>1174</v>
      </c>
      <c r="BG1135" s="10"/>
      <c r="BH1135" s="10"/>
      <c r="BI1135" s="10"/>
      <c r="BJ1135" s="10"/>
      <c r="BK1135" s="10"/>
      <c r="BL1135" s="10"/>
      <c r="BM1135" s="10"/>
      <c r="BN1135" s="10"/>
      <c r="BO1135" s="11"/>
    </row>
    <row r="1136" spans="2:67">
      <c r="B1136" s="12"/>
      <c r="C1136" s="12"/>
      <c r="D1136" s="12"/>
      <c r="E1136" s="12"/>
      <c r="F1136" s="13"/>
      <c r="G1136" s="14" t="s">
        <v>1175</v>
      </c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6"/>
      <c r="AM1136" s="15"/>
      <c r="AN1136" s="15"/>
      <c r="AO1136" s="15"/>
      <c r="AP1136" s="15"/>
      <c r="AQ1136" s="15"/>
      <c r="AR1136" s="17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8"/>
      <c r="BM1136" s="15"/>
      <c r="BN1136" s="15"/>
      <c r="BO1136" s="15"/>
    </row>
    <row r="1137" spans="2:67" ht="15">
      <c r="B1137" s="19" t="s">
        <v>4</v>
      </c>
      <c r="C1137" s="20" t="s">
        <v>5</v>
      </c>
      <c r="D1137" s="20"/>
      <c r="E1137" s="21" t="s">
        <v>6</v>
      </c>
      <c r="F1137" s="110" t="s">
        <v>135</v>
      </c>
      <c r="G1137" s="111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1"/>
      <c r="T1137" s="111"/>
      <c r="U1137" s="111"/>
      <c r="V1137" s="111"/>
      <c r="W1137" s="111"/>
      <c r="X1137" s="111"/>
      <c r="Y1137" s="111"/>
      <c r="Z1137" s="111"/>
      <c r="AA1137" s="111"/>
      <c r="AB1137" s="111"/>
      <c r="AC1137" s="111"/>
      <c r="AD1137" s="111"/>
      <c r="AE1137" s="111"/>
      <c r="AF1137" s="111"/>
      <c r="AG1137" s="111"/>
      <c r="AH1137" s="111"/>
      <c r="AI1137" s="111"/>
      <c r="AJ1137" s="111"/>
      <c r="AK1137" s="111"/>
      <c r="AL1137" s="111"/>
      <c r="AM1137" s="111"/>
      <c r="AN1137" s="111"/>
      <c r="AO1137" s="111"/>
      <c r="AP1137" s="111"/>
      <c r="AQ1137" s="111"/>
      <c r="AR1137" s="111"/>
      <c r="AS1137" s="111"/>
      <c r="AT1137" s="111"/>
      <c r="AU1137" s="111"/>
      <c r="AV1137" s="111"/>
      <c r="AW1137" s="111"/>
      <c r="AX1137" s="111"/>
      <c r="AY1137" s="111"/>
      <c r="AZ1137" s="111"/>
      <c r="BA1137" s="111"/>
      <c r="BB1137" s="111"/>
      <c r="BC1137" s="111"/>
      <c r="BD1137" s="111"/>
      <c r="BE1137" s="111"/>
      <c r="BF1137" s="24" t="s">
        <v>8</v>
      </c>
      <c r="BG1137" s="25"/>
      <c r="BH1137" s="25"/>
      <c r="BI1137" s="26"/>
      <c r="BJ1137" s="31" t="s">
        <v>9</v>
      </c>
      <c r="BK1137" s="32"/>
      <c r="BL1137" s="29"/>
      <c r="BM1137" s="30"/>
      <c r="BN1137" s="31" t="s">
        <v>10</v>
      </c>
      <c r="BO1137" s="32"/>
    </row>
    <row r="1138" spans="2:67" ht="110.1" customHeight="1">
      <c r="B1138" s="33"/>
      <c r="C1138" s="34" t="s">
        <v>11</v>
      </c>
      <c r="D1138" s="35" t="s">
        <v>4</v>
      </c>
      <c r="E1138" s="35" t="s">
        <v>12</v>
      </c>
      <c r="F1138" s="36" t="s">
        <v>13</v>
      </c>
      <c r="G1138" s="36" t="s">
        <v>14</v>
      </c>
      <c r="H1138" s="36" t="s">
        <v>15</v>
      </c>
      <c r="I1138" s="36" t="s">
        <v>16</v>
      </c>
      <c r="J1138" s="36" t="s">
        <v>17</v>
      </c>
      <c r="K1138" s="36" t="s">
        <v>18</v>
      </c>
      <c r="L1138" s="36" t="s">
        <v>19</v>
      </c>
      <c r="M1138" s="36" t="s">
        <v>20</v>
      </c>
      <c r="N1138" s="37" t="s">
        <v>21</v>
      </c>
      <c r="O1138" s="36" t="s">
        <v>22</v>
      </c>
      <c r="P1138" s="36" t="s">
        <v>23</v>
      </c>
      <c r="Q1138" s="36" t="s">
        <v>24</v>
      </c>
      <c r="R1138" s="36" t="s">
        <v>25</v>
      </c>
      <c r="S1138" s="36" t="s">
        <v>26</v>
      </c>
      <c r="T1138" s="36" t="s">
        <v>27</v>
      </c>
      <c r="U1138" s="36" t="s">
        <v>28</v>
      </c>
      <c r="V1138" s="36" t="s">
        <v>29</v>
      </c>
      <c r="W1138" s="36" t="s">
        <v>30</v>
      </c>
      <c r="X1138" s="38" t="s">
        <v>31</v>
      </c>
      <c r="Y1138" s="36" t="s">
        <v>32</v>
      </c>
      <c r="Z1138" s="36" t="s">
        <v>33</v>
      </c>
      <c r="AA1138" s="36" t="s">
        <v>34</v>
      </c>
      <c r="AB1138" s="38" t="s">
        <v>35</v>
      </c>
      <c r="AC1138" s="36" t="s">
        <v>36</v>
      </c>
      <c r="AD1138" s="39" t="s">
        <v>37</v>
      </c>
      <c r="AE1138" s="36" t="s">
        <v>38</v>
      </c>
      <c r="AF1138" s="40" t="s">
        <v>39</v>
      </c>
      <c r="AG1138" s="40" t="s">
        <v>40</v>
      </c>
      <c r="AH1138" s="40" t="s">
        <v>41</v>
      </c>
      <c r="AI1138" s="40" t="s">
        <v>42</v>
      </c>
      <c r="AJ1138" s="40" t="s">
        <v>43</v>
      </c>
      <c r="AK1138" s="40" t="s">
        <v>44</v>
      </c>
      <c r="AL1138" s="41" t="s">
        <v>45</v>
      </c>
      <c r="AM1138" s="42" t="s">
        <v>46</v>
      </c>
      <c r="AN1138" s="43" t="s">
        <v>47</v>
      </c>
      <c r="AO1138" s="40" t="s">
        <v>48</v>
      </c>
      <c r="AP1138" s="40" t="s">
        <v>49</v>
      </c>
      <c r="AQ1138" s="40" t="s">
        <v>50</v>
      </c>
      <c r="AR1138" s="44" t="s">
        <v>136</v>
      </c>
      <c r="AS1138" s="36" t="s">
        <v>52</v>
      </c>
      <c r="AT1138" s="36" t="s">
        <v>53</v>
      </c>
      <c r="AU1138" s="36" t="s">
        <v>54</v>
      </c>
      <c r="AV1138" s="36" t="s">
        <v>55</v>
      </c>
      <c r="AW1138" s="36" t="s">
        <v>56</v>
      </c>
      <c r="AX1138" s="36" t="s">
        <v>203</v>
      </c>
      <c r="AY1138" s="36" t="s">
        <v>58</v>
      </c>
      <c r="AZ1138" s="38" t="s">
        <v>59</v>
      </c>
      <c r="BA1138" s="36" t="s">
        <v>60</v>
      </c>
      <c r="BB1138" s="36" t="s">
        <v>61</v>
      </c>
      <c r="BC1138" s="39" t="s">
        <v>62</v>
      </c>
      <c r="BD1138" s="36" t="s">
        <v>63</v>
      </c>
      <c r="BE1138" s="36" t="s">
        <v>64</v>
      </c>
      <c r="BF1138" s="45" t="s">
        <v>65</v>
      </c>
      <c r="BG1138" s="45" t="s">
        <v>66</v>
      </c>
      <c r="BH1138" s="45" t="s">
        <v>67</v>
      </c>
      <c r="BI1138" s="45" t="s">
        <v>68</v>
      </c>
      <c r="BJ1138" s="46" t="s">
        <v>69</v>
      </c>
      <c r="BK1138" s="46" t="s">
        <v>70</v>
      </c>
      <c r="BL1138" s="47" t="s">
        <v>71</v>
      </c>
      <c r="BM1138" s="48" t="s">
        <v>72</v>
      </c>
      <c r="BN1138" s="49" t="s">
        <v>69</v>
      </c>
      <c r="BO1138" s="50" t="s">
        <v>70</v>
      </c>
    </row>
    <row r="1139" spans="2:67" ht="18.95" customHeight="1">
      <c r="B1139" s="51" t="s">
        <v>73</v>
      </c>
      <c r="C1139" s="52" t="s">
        <v>1176</v>
      </c>
      <c r="D1139" s="53" t="s">
        <v>73</v>
      </c>
      <c r="E1139" s="148" t="s">
        <v>1177</v>
      </c>
      <c r="F1139" s="55"/>
      <c r="G1139" s="55"/>
      <c r="H1139" s="55"/>
      <c r="I1139" s="55"/>
      <c r="J1139" s="55"/>
      <c r="K1139" s="55"/>
      <c r="L1139" s="55"/>
      <c r="M1139" s="55"/>
      <c r="N1139" s="56"/>
      <c r="O1139" s="55"/>
      <c r="P1139" s="55"/>
      <c r="Q1139" s="57"/>
      <c r="R1139" s="55"/>
      <c r="S1139" s="58"/>
      <c r="T1139" s="58"/>
      <c r="U1139" s="55"/>
      <c r="V1139" s="55"/>
      <c r="W1139" s="55"/>
      <c r="X1139" s="55"/>
      <c r="Y1139" s="55"/>
      <c r="Z1139" s="55"/>
      <c r="AA1139" s="55"/>
      <c r="AB1139" s="55"/>
      <c r="AC1139" s="55"/>
      <c r="AD1139" s="55"/>
      <c r="AE1139" s="57"/>
      <c r="AF1139" s="57"/>
      <c r="AG1139" s="57"/>
      <c r="AH1139" s="57"/>
      <c r="AI1139" s="57"/>
      <c r="AJ1139" s="57"/>
      <c r="AK1139" s="57"/>
      <c r="AL1139" s="59"/>
      <c r="AM1139" s="57"/>
      <c r="AN1139" s="57"/>
      <c r="AO1139" s="55"/>
      <c r="AP1139" s="55"/>
      <c r="AQ1139" s="57"/>
      <c r="AR1139" s="60"/>
      <c r="AS1139" s="57"/>
      <c r="AT1139" s="57"/>
      <c r="AU1139" s="57"/>
      <c r="AV1139" s="61"/>
      <c r="AW1139" s="61"/>
      <c r="AX1139" s="193"/>
      <c r="AY1139" s="61"/>
      <c r="AZ1139" s="61"/>
      <c r="BA1139" s="193">
        <v>1</v>
      </c>
      <c r="BB1139" s="61"/>
      <c r="BC1139" s="61"/>
      <c r="BD1139" s="61"/>
      <c r="BE1139" s="61"/>
      <c r="BF1139" s="55"/>
      <c r="BG1139" s="62"/>
      <c r="BH1139" s="63">
        <f t="shared" ref="BH1139:BH1168" si="50">SUM(F1139:BG1139)</f>
        <v>1</v>
      </c>
      <c r="BI1139" s="64">
        <v>1</v>
      </c>
      <c r="BJ1139" s="62"/>
      <c r="BK1139" s="203">
        <f t="shared" ref="BK1139:BK1168" si="51">BH1139-BI1139</f>
        <v>0</v>
      </c>
      <c r="BL1139" s="64"/>
      <c r="BM1139" s="65"/>
      <c r="BN1139" s="65"/>
      <c r="BO1139" s="65"/>
    </row>
    <row r="1140" spans="2:67" ht="18.95" customHeight="1">
      <c r="B1140" s="51" t="s">
        <v>76</v>
      </c>
      <c r="C1140" s="52" t="s">
        <v>1176</v>
      </c>
      <c r="D1140" s="53" t="s">
        <v>76</v>
      </c>
      <c r="E1140" s="148" t="s">
        <v>1178</v>
      </c>
      <c r="F1140" s="66"/>
      <c r="G1140" s="66"/>
      <c r="H1140" s="66"/>
      <c r="I1140" s="66"/>
      <c r="J1140" s="66"/>
      <c r="K1140" s="66"/>
      <c r="L1140" s="66"/>
      <c r="M1140" s="66"/>
      <c r="N1140" s="67"/>
      <c r="O1140" s="66"/>
      <c r="P1140" s="66"/>
      <c r="Q1140" s="66"/>
      <c r="R1140" s="66"/>
      <c r="S1140" s="66"/>
      <c r="T1140" s="66"/>
      <c r="U1140" s="66"/>
      <c r="V1140" s="66"/>
      <c r="W1140" s="66"/>
      <c r="X1140" s="66"/>
      <c r="Y1140" s="66"/>
      <c r="Z1140" s="66"/>
      <c r="AA1140" s="66"/>
      <c r="AB1140" s="66"/>
      <c r="AC1140" s="66"/>
      <c r="AD1140" s="66"/>
      <c r="AE1140" s="66"/>
      <c r="AF1140" s="66"/>
      <c r="AG1140" s="66"/>
      <c r="AH1140" s="66"/>
      <c r="AI1140" s="66"/>
      <c r="AJ1140" s="66"/>
      <c r="AK1140" s="66"/>
      <c r="AL1140" s="66"/>
      <c r="AM1140" s="66"/>
      <c r="AN1140" s="66"/>
      <c r="AO1140" s="66"/>
      <c r="AP1140" s="66"/>
      <c r="AQ1140" s="66"/>
      <c r="AR1140" s="68"/>
      <c r="AS1140" s="66"/>
      <c r="AT1140" s="66"/>
      <c r="AU1140" s="66"/>
      <c r="AV1140" s="69"/>
      <c r="AW1140" s="69"/>
      <c r="AX1140" s="69"/>
      <c r="AY1140" s="69"/>
      <c r="AZ1140" s="69"/>
      <c r="BA1140" s="69">
        <v>1</v>
      </c>
      <c r="BB1140" s="69"/>
      <c r="BC1140" s="69"/>
      <c r="BD1140" s="69"/>
      <c r="BE1140" s="69"/>
      <c r="BF1140" s="55"/>
      <c r="BG1140" s="70"/>
      <c r="BH1140" s="63">
        <f t="shared" si="50"/>
        <v>1</v>
      </c>
      <c r="BI1140" s="63">
        <v>1</v>
      </c>
      <c r="BJ1140" s="70"/>
      <c r="BK1140" s="203">
        <f t="shared" si="51"/>
        <v>0</v>
      </c>
      <c r="BL1140" s="63"/>
      <c r="BM1140" s="71"/>
      <c r="BN1140" s="71"/>
      <c r="BO1140" s="72"/>
    </row>
    <row r="1141" spans="2:67" ht="18.95" customHeight="1">
      <c r="B1141" s="51" t="s">
        <v>78</v>
      </c>
      <c r="C1141" s="52" t="s">
        <v>1176</v>
      </c>
      <c r="D1141" s="53" t="s">
        <v>78</v>
      </c>
      <c r="E1141" s="204" t="s">
        <v>1179</v>
      </c>
      <c r="F1141" s="66"/>
      <c r="G1141" s="66"/>
      <c r="H1141" s="66"/>
      <c r="I1141" s="66"/>
      <c r="J1141" s="66"/>
      <c r="K1141" s="66"/>
      <c r="L1141" s="66"/>
      <c r="M1141" s="66"/>
      <c r="N1141" s="67"/>
      <c r="O1141" s="66"/>
      <c r="P1141" s="66"/>
      <c r="Q1141" s="66"/>
      <c r="R1141" s="66"/>
      <c r="S1141" s="66"/>
      <c r="T1141" s="66"/>
      <c r="U1141" s="66"/>
      <c r="V1141" s="66"/>
      <c r="W1141" s="66"/>
      <c r="X1141" s="66"/>
      <c r="Y1141" s="66"/>
      <c r="Z1141" s="66"/>
      <c r="AA1141" s="66"/>
      <c r="AB1141" s="66"/>
      <c r="AC1141" s="66"/>
      <c r="AD1141" s="66"/>
      <c r="AE1141" s="66"/>
      <c r="AF1141" s="66"/>
      <c r="AG1141" s="66"/>
      <c r="AH1141" s="66"/>
      <c r="AI1141" s="66"/>
      <c r="AJ1141" s="66"/>
      <c r="AK1141" s="66"/>
      <c r="AL1141" s="66"/>
      <c r="AM1141" s="66"/>
      <c r="AN1141" s="66"/>
      <c r="AO1141" s="66"/>
      <c r="AP1141" s="66"/>
      <c r="AQ1141" s="66"/>
      <c r="AR1141" s="68"/>
      <c r="AS1141" s="66"/>
      <c r="AT1141" s="66"/>
      <c r="AU1141" s="66"/>
      <c r="AV1141" s="69"/>
      <c r="AW1141" s="69"/>
      <c r="AX1141" s="69"/>
      <c r="AY1141" s="69"/>
      <c r="AZ1141" s="69"/>
      <c r="BA1141" s="69">
        <v>1</v>
      </c>
      <c r="BB1141" s="69"/>
      <c r="BC1141" s="69"/>
      <c r="BD1141" s="69"/>
      <c r="BE1141" s="69"/>
      <c r="BF1141" s="55"/>
      <c r="BG1141" s="70"/>
      <c r="BH1141" s="63">
        <f t="shared" si="50"/>
        <v>1</v>
      </c>
      <c r="BI1141" s="63">
        <v>1</v>
      </c>
      <c r="BJ1141" s="70"/>
      <c r="BK1141" s="203">
        <f t="shared" si="51"/>
        <v>0</v>
      </c>
      <c r="BL1141" s="63"/>
      <c r="BM1141" s="71"/>
      <c r="BN1141" s="72"/>
      <c r="BO1141" s="71"/>
    </row>
    <row r="1142" spans="2:67" ht="18.95" customHeight="1">
      <c r="B1142" s="51" t="s">
        <v>80</v>
      </c>
      <c r="C1142" s="52" t="s">
        <v>1176</v>
      </c>
      <c r="D1142" s="53" t="s">
        <v>80</v>
      </c>
      <c r="E1142" s="148" t="s">
        <v>1180</v>
      </c>
      <c r="F1142" s="66"/>
      <c r="G1142" s="66"/>
      <c r="H1142" s="66"/>
      <c r="I1142" s="66"/>
      <c r="J1142" s="66"/>
      <c r="K1142" s="66"/>
      <c r="L1142" s="66"/>
      <c r="M1142" s="66"/>
      <c r="N1142" s="67"/>
      <c r="O1142" s="66"/>
      <c r="P1142" s="66"/>
      <c r="Q1142" s="66"/>
      <c r="R1142" s="66"/>
      <c r="S1142" s="66"/>
      <c r="T1142" s="66"/>
      <c r="U1142" s="66"/>
      <c r="V1142" s="66"/>
      <c r="W1142" s="66"/>
      <c r="X1142" s="66"/>
      <c r="Y1142" s="66"/>
      <c r="Z1142" s="66"/>
      <c r="AA1142" s="66"/>
      <c r="AB1142" s="66"/>
      <c r="AC1142" s="66"/>
      <c r="AD1142" s="66"/>
      <c r="AE1142" s="66"/>
      <c r="AF1142" s="66"/>
      <c r="AG1142" s="66"/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8"/>
      <c r="AS1142" s="66"/>
      <c r="AT1142" s="66"/>
      <c r="AU1142" s="66"/>
      <c r="AV1142" s="69"/>
      <c r="AW1142" s="69"/>
      <c r="AX1142" s="69"/>
      <c r="AY1142" s="69"/>
      <c r="AZ1142" s="69"/>
      <c r="BA1142" s="69">
        <v>2</v>
      </c>
      <c r="BB1142" s="69"/>
      <c r="BC1142" s="69"/>
      <c r="BD1142" s="69"/>
      <c r="BE1142" s="69"/>
      <c r="BF1142" s="55"/>
      <c r="BG1142" s="70"/>
      <c r="BH1142" s="63">
        <f t="shared" si="50"/>
        <v>2</v>
      </c>
      <c r="BI1142" s="63">
        <v>2</v>
      </c>
      <c r="BJ1142" s="70"/>
      <c r="BK1142" s="203">
        <f t="shared" si="51"/>
        <v>0</v>
      </c>
      <c r="BL1142" s="63"/>
      <c r="BM1142" s="71"/>
      <c r="BN1142" s="71"/>
      <c r="BO1142" s="71"/>
    </row>
    <row r="1143" spans="2:67" ht="18.95" customHeight="1">
      <c r="B1143" s="51" t="s">
        <v>82</v>
      </c>
      <c r="C1143" s="52" t="s">
        <v>1176</v>
      </c>
      <c r="D1143" s="53" t="s">
        <v>82</v>
      </c>
      <c r="E1143" s="148" t="s">
        <v>1181</v>
      </c>
      <c r="F1143" s="66"/>
      <c r="G1143" s="66"/>
      <c r="H1143" s="66"/>
      <c r="I1143" s="66"/>
      <c r="J1143" s="66"/>
      <c r="K1143" s="66"/>
      <c r="L1143" s="66"/>
      <c r="M1143" s="66"/>
      <c r="N1143" s="67"/>
      <c r="O1143" s="66"/>
      <c r="P1143" s="66"/>
      <c r="Q1143" s="66"/>
      <c r="R1143" s="66"/>
      <c r="S1143" s="66"/>
      <c r="T1143" s="66"/>
      <c r="U1143" s="66"/>
      <c r="V1143" s="66"/>
      <c r="W1143" s="66"/>
      <c r="X1143" s="66"/>
      <c r="Y1143" s="66"/>
      <c r="Z1143" s="66"/>
      <c r="AA1143" s="66"/>
      <c r="AB1143" s="66"/>
      <c r="AC1143" s="66"/>
      <c r="AD1143" s="66"/>
      <c r="AE1143" s="66"/>
      <c r="AF1143" s="66"/>
      <c r="AG1143" s="66"/>
      <c r="AH1143" s="66"/>
      <c r="AI1143" s="66"/>
      <c r="AJ1143" s="66"/>
      <c r="AK1143" s="66"/>
      <c r="AL1143" s="66"/>
      <c r="AM1143" s="66"/>
      <c r="AN1143" s="66"/>
      <c r="AO1143" s="66"/>
      <c r="AP1143" s="66"/>
      <c r="AQ1143" s="66"/>
      <c r="AR1143" s="68"/>
      <c r="AS1143" s="66"/>
      <c r="AT1143" s="66"/>
      <c r="AU1143" s="66"/>
      <c r="AV1143" s="69"/>
      <c r="AW1143" s="69"/>
      <c r="AX1143" s="69"/>
      <c r="AY1143" s="69"/>
      <c r="AZ1143" s="69"/>
      <c r="BA1143" s="69">
        <v>1</v>
      </c>
      <c r="BB1143" s="69"/>
      <c r="BC1143" s="69"/>
      <c r="BD1143" s="69"/>
      <c r="BE1143" s="69"/>
      <c r="BF1143" s="55"/>
      <c r="BG1143" s="70"/>
      <c r="BH1143" s="63">
        <f t="shared" si="50"/>
        <v>1</v>
      </c>
      <c r="BI1143" s="63">
        <v>1</v>
      </c>
      <c r="BJ1143" s="70"/>
      <c r="BK1143" s="203">
        <f t="shared" si="51"/>
        <v>0</v>
      </c>
      <c r="BL1143" s="63"/>
      <c r="BM1143" s="71"/>
      <c r="BN1143" s="71"/>
      <c r="BO1143" s="71"/>
    </row>
    <row r="1144" spans="2:67" ht="18.95" customHeight="1">
      <c r="B1144" s="51" t="s">
        <v>84</v>
      </c>
      <c r="C1144" s="52" t="s">
        <v>1176</v>
      </c>
      <c r="D1144" s="53" t="s">
        <v>84</v>
      </c>
      <c r="E1144" s="148" t="s">
        <v>1182</v>
      </c>
      <c r="F1144" s="66"/>
      <c r="G1144" s="66"/>
      <c r="H1144" s="66"/>
      <c r="I1144" s="66"/>
      <c r="J1144" s="66"/>
      <c r="K1144" s="66"/>
      <c r="L1144" s="66"/>
      <c r="M1144" s="66"/>
      <c r="N1144" s="67"/>
      <c r="O1144" s="66"/>
      <c r="P1144" s="66"/>
      <c r="Q1144" s="66"/>
      <c r="R1144" s="66"/>
      <c r="S1144" s="66"/>
      <c r="T1144" s="66"/>
      <c r="U1144" s="66"/>
      <c r="V1144" s="66"/>
      <c r="W1144" s="66"/>
      <c r="X1144" s="66"/>
      <c r="Y1144" s="66"/>
      <c r="Z1144" s="66"/>
      <c r="AA1144" s="66"/>
      <c r="AB1144" s="66"/>
      <c r="AC1144" s="66"/>
      <c r="AD1144" s="66"/>
      <c r="AE1144" s="66"/>
      <c r="AF1144" s="66"/>
      <c r="AG1144" s="66"/>
      <c r="AH1144" s="66"/>
      <c r="AI1144" s="66"/>
      <c r="AJ1144" s="66"/>
      <c r="AK1144" s="66"/>
      <c r="AL1144" s="66"/>
      <c r="AM1144" s="66"/>
      <c r="AN1144" s="66"/>
      <c r="AO1144" s="66"/>
      <c r="AP1144" s="66"/>
      <c r="AQ1144" s="66"/>
      <c r="AR1144" s="68"/>
      <c r="AS1144" s="66"/>
      <c r="AT1144" s="66"/>
      <c r="AU1144" s="66"/>
      <c r="AV1144" s="69"/>
      <c r="AW1144" s="69"/>
      <c r="AX1144" s="69"/>
      <c r="AY1144" s="69"/>
      <c r="AZ1144" s="69"/>
      <c r="BA1144" s="69">
        <v>1</v>
      </c>
      <c r="BB1144" s="69"/>
      <c r="BC1144" s="69"/>
      <c r="BD1144" s="69"/>
      <c r="BE1144" s="69"/>
      <c r="BF1144" s="55"/>
      <c r="BG1144" s="70"/>
      <c r="BH1144" s="63">
        <f t="shared" si="50"/>
        <v>1</v>
      </c>
      <c r="BI1144" s="63">
        <v>1</v>
      </c>
      <c r="BJ1144" s="70"/>
      <c r="BK1144" s="203">
        <f t="shared" si="51"/>
        <v>0</v>
      </c>
      <c r="BL1144" s="63"/>
      <c r="BM1144" s="71"/>
      <c r="BN1144" s="71"/>
      <c r="BO1144" s="71"/>
    </row>
    <row r="1145" spans="2:67" ht="18.95" customHeight="1">
      <c r="B1145" s="51" t="s">
        <v>86</v>
      </c>
      <c r="C1145" s="52" t="s">
        <v>1176</v>
      </c>
      <c r="D1145" s="53" t="s">
        <v>86</v>
      </c>
      <c r="E1145" s="148" t="s">
        <v>1183</v>
      </c>
      <c r="F1145" s="66"/>
      <c r="G1145" s="66"/>
      <c r="H1145" s="66"/>
      <c r="I1145" s="66"/>
      <c r="J1145" s="66"/>
      <c r="K1145" s="66"/>
      <c r="L1145" s="66"/>
      <c r="M1145" s="66"/>
      <c r="N1145" s="67"/>
      <c r="O1145" s="66"/>
      <c r="P1145" s="66"/>
      <c r="Q1145" s="66"/>
      <c r="R1145" s="66"/>
      <c r="S1145" s="66"/>
      <c r="T1145" s="66"/>
      <c r="U1145" s="66"/>
      <c r="V1145" s="66"/>
      <c r="W1145" s="66"/>
      <c r="X1145" s="66"/>
      <c r="Y1145" s="66"/>
      <c r="Z1145" s="66"/>
      <c r="AA1145" s="66"/>
      <c r="AB1145" s="66"/>
      <c r="AC1145" s="66"/>
      <c r="AD1145" s="66"/>
      <c r="AE1145" s="66"/>
      <c r="AF1145" s="66"/>
      <c r="AG1145" s="66"/>
      <c r="AH1145" s="66"/>
      <c r="AI1145" s="66"/>
      <c r="AJ1145" s="66"/>
      <c r="AK1145" s="66"/>
      <c r="AL1145" s="66"/>
      <c r="AM1145" s="66"/>
      <c r="AN1145" s="66"/>
      <c r="AO1145" s="66"/>
      <c r="AP1145" s="66"/>
      <c r="AQ1145" s="66"/>
      <c r="AR1145" s="68"/>
      <c r="AS1145" s="66"/>
      <c r="AT1145" s="66"/>
      <c r="AU1145" s="66"/>
      <c r="AV1145" s="69"/>
      <c r="AW1145" s="69"/>
      <c r="AX1145" s="69"/>
      <c r="AY1145" s="69"/>
      <c r="AZ1145" s="69"/>
      <c r="BA1145" s="69">
        <v>1</v>
      </c>
      <c r="BB1145" s="69"/>
      <c r="BC1145" s="69"/>
      <c r="BD1145" s="69"/>
      <c r="BE1145" s="69"/>
      <c r="BF1145" s="55"/>
      <c r="BG1145" s="70"/>
      <c r="BH1145" s="63">
        <f t="shared" si="50"/>
        <v>1</v>
      </c>
      <c r="BI1145" s="63">
        <v>1</v>
      </c>
      <c r="BJ1145" s="70"/>
      <c r="BK1145" s="203">
        <f t="shared" si="51"/>
        <v>0</v>
      </c>
      <c r="BL1145" s="63"/>
      <c r="BM1145" s="71"/>
      <c r="BN1145" s="71"/>
      <c r="BO1145" s="71"/>
    </row>
    <row r="1146" spans="2:67" ht="18.95" customHeight="1">
      <c r="B1146" s="51" t="s">
        <v>88</v>
      </c>
      <c r="C1146" s="52" t="s">
        <v>1176</v>
      </c>
      <c r="D1146" s="53" t="s">
        <v>88</v>
      </c>
      <c r="E1146" s="148" t="s">
        <v>1184</v>
      </c>
      <c r="F1146" s="66"/>
      <c r="G1146" s="66"/>
      <c r="H1146" s="66"/>
      <c r="I1146" s="66"/>
      <c r="J1146" s="66"/>
      <c r="K1146" s="66"/>
      <c r="L1146" s="66"/>
      <c r="M1146" s="66"/>
      <c r="N1146" s="67"/>
      <c r="O1146" s="66"/>
      <c r="P1146" s="66"/>
      <c r="Q1146" s="66"/>
      <c r="R1146" s="66"/>
      <c r="S1146" s="66"/>
      <c r="T1146" s="66"/>
      <c r="U1146" s="66"/>
      <c r="V1146" s="66"/>
      <c r="W1146" s="66"/>
      <c r="X1146" s="66"/>
      <c r="Y1146" s="66"/>
      <c r="Z1146" s="66"/>
      <c r="AA1146" s="66"/>
      <c r="AB1146" s="66"/>
      <c r="AC1146" s="66"/>
      <c r="AD1146" s="66"/>
      <c r="AE1146" s="66"/>
      <c r="AF1146" s="66"/>
      <c r="AG1146" s="66"/>
      <c r="AH1146" s="66"/>
      <c r="AI1146" s="66"/>
      <c r="AJ1146" s="66"/>
      <c r="AK1146" s="66"/>
      <c r="AL1146" s="66"/>
      <c r="AM1146" s="66"/>
      <c r="AN1146" s="66"/>
      <c r="AO1146" s="66"/>
      <c r="AP1146" s="66"/>
      <c r="AQ1146" s="66"/>
      <c r="AR1146" s="68"/>
      <c r="AS1146" s="66"/>
      <c r="AT1146" s="66"/>
      <c r="AU1146" s="66"/>
      <c r="AV1146" s="69"/>
      <c r="AW1146" s="69"/>
      <c r="AX1146" s="69"/>
      <c r="AY1146" s="69"/>
      <c r="AZ1146" s="69"/>
      <c r="BA1146" s="69">
        <v>2</v>
      </c>
      <c r="BB1146" s="69"/>
      <c r="BC1146" s="69"/>
      <c r="BD1146" s="69"/>
      <c r="BE1146" s="69"/>
      <c r="BF1146" s="55"/>
      <c r="BG1146" s="70"/>
      <c r="BH1146" s="63">
        <f t="shared" si="50"/>
        <v>2</v>
      </c>
      <c r="BI1146" s="63">
        <v>2</v>
      </c>
      <c r="BJ1146" s="70"/>
      <c r="BK1146" s="203">
        <f t="shared" si="51"/>
        <v>0</v>
      </c>
      <c r="BL1146" s="63"/>
      <c r="BM1146" s="71"/>
      <c r="BN1146" s="71"/>
      <c r="BO1146" s="71"/>
    </row>
    <row r="1147" spans="2:67" ht="18.95" customHeight="1">
      <c r="B1147" s="51" t="s">
        <v>90</v>
      </c>
      <c r="C1147" s="52" t="s">
        <v>1176</v>
      </c>
      <c r="D1147" s="53" t="s">
        <v>90</v>
      </c>
      <c r="E1147" s="148" t="s">
        <v>1185</v>
      </c>
      <c r="F1147" s="66"/>
      <c r="G1147" s="66"/>
      <c r="H1147" s="66"/>
      <c r="I1147" s="66"/>
      <c r="J1147" s="66"/>
      <c r="K1147" s="66"/>
      <c r="L1147" s="66"/>
      <c r="M1147" s="66"/>
      <c r="N1147" s="67"/>
      <c r="O1147" s="66"/>
      <c r="P1147" s="66"/>
      <c r="Q1147" s="66"/>
      <c r="R1147" s="66"/>
      <c r="S1147" s="66"/>
      <c r="T1147" s="66"/>
      <c r="U1147" s="66"/>
      <c r="V1147" s="66"/>
      <c r="W1147" s="66"/>
      <c r="X1147" s="66"/>
      <c r="Y1147" s="66"/>
      <c r="Z1147" s="66"/>
      <c r="AA1147" s="66"/>
      <c r="AB1147" s="66"/>
      <c r="AC1147" s="66"/>
      <c r="AD1147" s="66"/>
      <c r="AE1147" s="66"/>
      <c r="AF1147" s="66"/>
      <c r="AG1147" s="66"/>
      <c r="AH1147" s="66"/>
      <c r="AI1147" s="66"/>
      <c r="AJ1147" s="66"/>
      <c r="AK1147" s="66"/>
      <c r="AL1147" s="66"/>
      <c r="AM1147" s="66"/>
      <c r="AN1147" s="66"/>
      <c r="AO1147" s="66"/>
      <c r="AP1147" s="66"/>
      <c r="AQ1147" s="66"/>
      <c r="AR1147" s="68"/>
      <c r="AS1147" s="66"/>
      <c r="AT1147" s="66"/>
      <c r="AU1147" s="66"/>
      <c r="AV1147" s="69"/>
      <c r="AW1147" s="69"/>
      <c r="AX1147" s="69"/>
      <c r="AY1147" s="69"/>
      <c r="AZ1147" s="69"/>
      <c r="BA1147" s="69">
        <v>1</v>
      </c>
      <c r="BB1147" s="69"/>
      <c r="BC1147" s="69"/>
      <c r="BD1147" s="69"/>
      <c r="BE1147" s="69"/>
      <c r="BF1147" s="55"/>
      <c r="BG1147" s="70"/>
      <c r="BH1147" s="63">
        <f t="shared" si="50"/>
        <v>1</v>
      </c>
      <c r="BI1147" s="63">
        <v>1</v>
      </c>
      <c r="BJ1147" s="70"/>
      <c r="BK1147" s="203">
        <f t="shared" si="51"/>
        <v>0</v>
      </c>
      <c r="BL1147" s="63"/>
      <c r="BM1147" s="71"/>
      <c r="BN1147" s="71"/>
      <c r="BO1147" s="71"/>
    </row>
    <row r="1148" spans="2:67" ht="18.95" customHeight="1">
      <c r="B1148" s="51" t="s">
        <v>92</v>
      </c>
      <c r="C1148" s="52" t="s">
        <v>1176</v>
      </c>
      <c r="D1148" s="53" t="s">
        <v>92</v>
      </c>
      <c r="E1148" s="148" t="s">
        <v>1186</v>
      </c>
      <c r="F1148" s="66"/>
      <c r="G1148" s="66"/>
      <c r="H1148" s="66"/>
      <c r="I1148" s="66"/>
      <c r="J1148" s="66"/>
      <c r="K1148" s="66"/>
      <c r="L1148" s="66"/>
      <c r="M1148" s="66"/>
      <c r="N1148" s="67"/>
      <c r="O1148" s="66"/>
      <c r="P1148" s="66"/>
      <c r="Q1148" s="66"/>
      <c r="R1148" s="66"/>
      <c r="S1148" s="66"/>
      <c r="T1148" s="66"/>
      <c r="U1148" s="66"/>
      <c r="V1148" s="66"/>
      <c r="W1148" s="66"/>
      <c r="X1148" s="66"/>
      <c r="Y1148" s="66"/>
      <c r="Z1148" s="66"/>
      <c r="AA1148" s="66"/>
      <c r="AB1148" s="66"/>
      <c r="AC1148" s="66"/>
      <c r="AD1148" s="66"/>
      <c r="AE1148" s="66"/>
      <c r="AF1148" s="66"/>
      <c r="AG1148" s="66"/>
      <c r="AH1148" s="66"/>
      <c r="AI1148" s="66"/>
      <c r="AJ1148" s="66"/>
      <c r="AK1148" s="66"/>
      <c r="AL1148" s="66"/>
      <c r="AM1148" s="66"/>
      <c r="AN1148" s="66"/>
      <c r="AO1148" s="66"/>
      <c r="AP1148" s="66"/>
      <c r="AQ1148" s="66"/>
      <c r="AR1148" s="68"/>
      <c r="AS1148" s="66"/>
      <c r="AT1148" s="66"/>
      <c r="AU1148" s="66"/>
      <c r="AV1148" s="69"/>
      <c r="AW1148" s="69"/>
      <c r="AX1148" s="69"/>
      <c r="AY1148" s="69"/>
      <c r="AZ1148" s="69"/>
      <c r="BA1148" s="69">
        <v>1</v>
      </c>
      <c r="BB1148" s="69"/>
      <c r="BC1148" s="69"/>
      <c r="BD1148" s="69"/>
      <c r="BE1148" s="69"/>
      <c r="BF1148" s="55"/>
      <c r="BG1148" s="70"/>
      <c r="BH1148" s="63">
        <f t="shared" si="50"/>
        <v>1</v>
      </c>
      <c r="BI1148" s="63">
        <v>1</v>
      </c>
      <c r="BJ1148" s="70"/>
      <c r="BK1148" s="203">
        <f t="shared" si="51"/>
        <v>0</v>
      </c>
      <c r="BL1148" s="63"/>
      <c r="BM1148" s="71"/>
      <c r="BN1148" s="71"/>
      <c r="BO1148" s="71"/>
    </row>
    <row r="1149" spans="2:67" ht="18.95" customHeight="1">
      <c r="B1149" s="51" t="s">
        <v>94</v>
      </c>
      <c r="C1149" s="52" t="s">
        <v>1176</v>
      </c>
      <c r="D1149" s="53" t="s">
        <v>94</v>
      </c>
      <c r="E1149" s="148" t="s">
        <v>1187</v>
      </c>
      <c r="F1149" s="66"/>
      <c r="G1149" s="66"/>
      <c r="H1149" s="66"/>
      <c r="I1149" s="66"/>
      <c r="J1149" s="66"/>
      <c r="K1149" s="66"/>
      <c r="L1149" s="66"/>
      <c r="M1149" s="66"/>
      <c r="N1149" s="67"/>
      <c r="O1149" s="66"/>
      <c r="P1149" s="66"/>
      <c r="Q1149" s="66"/>
      <c r="R1149" s="66"/>
      <c r="S1149" s="66"/>
      <c r="T1149" s="66"/>
      <c r="U1149" s="66"/>
      <c r="V1149" s="66"/>
      <c r="W1149" s="66"/>
      <c r="X1149" s="66"/>
      <c r="Y1149" s="66"/>
      <c r="Z1149" s="66"/>
      <c r="AA1149" s="66"/>
      <c r="AB1149" s="66"/>
      <c r="AC1149" s="66"/>
      <c r="AD1149" s="66"/>
      <c r="AE1149" s="66"/>
      <c r="AF1149" s="66"/>
      <c r="AG1149" s="66"/>
      <c r="AH1149" s="66"/>
      <c r="AI1149" s="66"/>
      <c r="AJ1149" s="66"/>
      <c r="AK1149" s="66"/>
      <c r="AL1149" s="66"/>
      <c r="AM1149" s="66"/>
      <c r="AN1149" s="66"/>
      <c r="AO1149" s="66"/>
      <c r="AP1149" s="66"/>
      <c r="AQ1149" s="66"/>
      <c r="AR1149" s="68"/>
      <c r="AS1149" s="66"/>
      <c r="AT1149" s="66"/>
      <c r="AU1149" s="66"/>
      <c r="AV1149" s="69"/>
      <c r="AW1149" s="69"/>
      <c r="AX1149" s="69"/>
      <c r="AY1149" s="69"/>
      <c r="AZ1149" s="69"/>
      <c r="BA1149" s="69">
        <v>2</v>
      </c>
      <c r="BB1149" s="69"/>
      <c r="BC1149" s="69"/>
      <c r="BD1149" s="69"/>
      <c r="BE1149" s="69"/>
      <c r="BF1149" s="55"/>
      <c r="BG1149" s="70"/>
      <c r="BH1149" s="63">
        <f t="shared" si="50"/>
        <v>2</v>
      </c>
      <c r="BI1149" s="63">
        <v>2</v>
      </c>
      <c r="BJ1149" s="70"/>
      <c r="BK1149" s="203">
        <f t="shared" si="51"/>
        <v>0</v>
      </c>
      <c r="BL1149" s="63"/>
      <c r="BM1149" s="71"/>
      <c r="BN1149" s="71"/>
      <c r="BO1149" s="71"/>
    </row>
    <row r="1150" spans="2:67" ht="18.95" customHeight="1">
      <c r="B1150" s="51" t="s">
        <v>96</v>
      </c>
      <c r="C1150" s="52" t="s">
        <v>1176</v>
      </c>
      <c r="D1150" s="53" t="s">
        <v>96</v>
      </c>
      <c r="E1150" s="204" t="s">
        <v>1188</v>
      </c>
      <c r="F1150" s="66"/>
      <c r="G1150" s="66"/>
      <c r="H1150" s="66"/>
      <c r="I1150" s="66"/>
      <c r="J1150" s="66"/>
      <c r="K1150" s="66"/>
      <c r="L1150" s="66"/>
      <c r="M1150" s="66"/>
      <c r="N1150" s="67"/>
      <c r="O1150" s="66"/>
      <c r="P1150" s="66"/>
      <c r="Q1150" s="66"/>
      <c r="R1150" s="66"/>
      <c r="S1150" s="66"/>
      <c r="T1150" s="66"/>
      <c r="U1150" s="66"/>
      <c r="V1150" s="66"/>
      <c r="W1150" s="66"/>
      <c r="X1150" s="66"/>
      <c r="Y1150" s="66"/>
      <c r="Z1150" s="66"/>
      <c r="AA1150" s="66"/>
      <c r="AB1150" s="66"/>
      <c r="AC1150" s="66"/>
      <c r="AD1150" s="66"/>
      <c r="AE1150" s="66"/>
      <c r="AF1150" s="66"/>
      <c r="AG1150" s="66"/>
      <c r="AH1150" s="66"/>
      <c r="AI1150" s="66"/>
      <c r="AJ1150" s="66"/>
      <c r="AK1150" s="66"/>
      <c r="AL1150" s="66"/>
      <c r="AM1150" s="66"/>
      <c r="AN1150" s="66"/>
      <c r="AO1150" s="66"/>
      <c r="AP1150" s="66"/>
      <c r="AQ1150" s="66"/>
      <c r="AR1150" s="68"/>
      <c r="AS1150" s="66"/>
      <c r="AT1150" s="66"/>
      <c r="AU1150" s="66"/>
      <c r="AV1150" s="69"/>
      <c r="AW1150" s="69"/>
      <c r="AX1150" s="69"/>
      <c r="AY1150" s="69"/>
      <c r="AZ1150" s="69"/>
      <c r="BA1150" s="69">
        <v>1</v>
      </c>
      <c r="BB1150" s="69"/>
      <c r="BC1150" s="69"/>
      <c r="BD1150" s="69"/>
      <c r="BE1150" s="69"/>
      <c r="BF1150" s="55"/>
      <c r="BG1150" s="70"/>
      <c r="BH1150" s="63">
        <f t="shared" si="50"/>
        <v>1</v>
      </c>
      <c r="BI1150" s="63">
        <v>1</v>
      </c>
      <c r="BJ1150" s="70"/>
      <c r="BK1150" s="203">
        <f t="shared" si="51"/>
        <v>0</v>
      </c>
      <c r="BL1150" s="63"/>
      <c r="BM1150" s="71"/>
      <c r="BN1150" s="71"/>
      <c r="BO1150" s="71"/>
    </row>
    <row r="1151" spans="2:67" ht="18.95" customHeight="1">
      <c r="B1151" s="51" t="s">
        <v>98</v>
      </c>
      <c r="C1151" s="52" t="s">
        <v>1176</v>
      </c>
      <c r="D1151" s="53" t="s">
        <v>98</v>
      </c>
      <c r="E1151" s="204" t="s">
        <v>1189</v>
      </c>
      <c r="F1151" s="66"/>
      <c r="G1151" s="66"/>
      <c r="H1151" s="66"/>
      <c r="I1151" s="66"/>
      <c r="J1151" s="66"/>
      <c r="K1151" s="66"/>
      <c r="L1151" s="66"/>
      <c r="M1151" s="66"/>
      <c r="N1151" s="67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  <c r="Y1151" s="66"/>
      <c r="Z1151" s="66"/>
      <c r="AA1151" s="66"/>
      <c r="AB1151" s="66"/>
      <c r="AC1151" s="66"/>
      <c r="AD1151" s="66"/>
      <c r="AE1151" s="66"/>
      <c r="AF1151" s="66"/>
      <c r="AG1151" s="66"/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8"/>
      <c r="AS1151" s="66"/>
      <c r="AT1151" s="66"/>
      <c r="AU1151" s="66"/>
      <c r="AV1151" s="69"/>
      <c r="AW1151" s="69"/>
      <c r="AX1151" s="69"/>
      <c r="AY1151" s="69"/>
      <c r="AZ1151" s="69"/>
      <c r="BA1151" s="69">
        <v>1</v>
      </c>
      <c r="BB1151" s="69"/>
      <c r="BC1151" s="69"/>
      <c r="BD1151" s="69"/>
      <c r="BE1151" s="69"/>
      <c r="BF1151" s="55"/>
      <c r="BG1151" s="70"/>
      <c r="BH1151" s="63">
        <f t="shared" si="50"/>
        <v>1</v>
      </c>
      <c r="BI1151" s="63">
        <v>1</v>
      </c>
      <c r="BJ1151" s="70"/>
      <c r="BK1151" s="203">
        <f t="shared" si="51"/>
        <v>0</v>
      </c>
      <c r="BL1151" s="63"/>
      <c r="BM1151" s="71"/>
      <c r="BN1151" s="71"/>
      <c r="BO1151" s="71"/>
    </row>
    <row r="1152" spans="2:67" ht="18.95" customHeight="1">
      <c r="B1152" s="51" t="s">
        <v>100</v>
      </c>
      <c r="C1152" s="52" t="s">
        <v>1176</v>
      </c>
      <c r="D1152" s="53" t="s">
        <v>100</v>
      </c>
      <c r="E1152" s="148" t="s">
        <v>1190</v>
      </c>
      <c r="F1152" s="66"/>
      <c r="G1152" s="66"/>
      <c r="H1152" s="66"/>
      <c r="I1152" s="66"/>
      <c r="J1152" s="66"/>
      <c r="K1152" s="66"/>
      <c r="L1152" s="66"/>
      <c r="M1152" s="66"/>
      <c r="N1152" s="67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  <c r="Y1152" s="66"/>
      <c r="Z1152" s="66"/>
      <c r="AA1152" s="66"/>
      <c r="AB1152" s="66"/>
      <c r="AC1152" s="66"/>
      <c r="AD1152" s="66"/>
      <c r="AE1152" s="66"/>
      <c r="AF1152" s="66"/>
      <c r="AG1152" s="66"/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8"/>
      <c r="AS1152" s="66"/>
      <c r="AT1152" s="66"/>
      <c r="AU1152" s="66"/>
      <c r="AV1152" s="69"/>
      <c r="AW1152" s="69"/>
      <c r="AX1152" s="69"/>
      <c r="AY1152" s="69"/>
      <c r="AZ1152" s="69"/>
      <c r="BA1152" s="69">
        <v>1</v>
      </c>
      <c r="BB1152" s="69"/>
      <c r="BC1152" s="69"/>
      <c r="BD1152" s="69"/>
      <c r="BE1152" s="69"/>
      <c r="BF1152" s="55"/>
      <c r="BG1152" s="70"/>
      <c r="BH1152" s="63">
        <f t="shared" si="50"/>
        <v>1</v>
      </c>
      <c r="BI1152" s="63">
        <v>1</v>
      </c>
      <c r="BJ1152" s="70"/>
      <c r="BK1152" s="203">
        <f t="shared" si="51"/>
        <v>0</v>
      </c>
      <c r="BL1152" s="63"/>
      <c r="BM1152" s="71"/>
      <c r="BN1152" s="71"/>
      <c r="BO1152" s="71"/>
    </row>
    <row r="1153" spans="2:67" ht="18.95" customHeight="1">
      <c r="B1153" s="51" t="s">
        <v>102</v>
      </c>
      <c r="C1153" s="52" t="s">
        <v>1176</v>
      </c>
      <c r="D1153" s="53" t="s">
        <v>102</v>
      </c>
      <c r="E1153" s="204" t="s">
        <v>1191</v>
      </c>
      <c r="F1153" s="66"/>
      <c r="G1153" s="66"/>
      <c r="H1153" s="66"/>
      <c r="I1153" s="66"/>
      <c r="J1153" s="66"/>
      <c r="K1153" s="66"/>
      <c r="L1153" s="66"/>
      <c r="M1153" s="66"/>
      <c r="N1153" s="67"/>
      <c r="O1153" s="66"/>
      <c r="P1153" s="66"/>
      <c r="Q1153" s="66"/>
      <c r="R1153" s="66"/>
      <c r="S1153" s="66"/>
      <c r="T1153" s="66"/>
      <c r="U1153" s="66"/>
      <c r="V1153" s="66"/>
      <c r="W1153" s="66"/>
      <c r="X1153" s="66"/>
      <c r="Y1153" s="66"/>
      <c r="Z1153" s="66"/>
      <c r="AA1153" s="66"/>
      <c r="AB1153" s="66"/>
      <c r="AC1153" s="66"/>
      <c r="AD1153" s="66"/>
      <c r="AE1153" s="66"/>
      <c r="AF1153" s="66"/>
      <c r="AG1153" s="66"/>
      <c r="AH1153" s="66"/>
      <c r="AI1153" s="66"/>
      <c r="AJ1153" s="66"/>
      <c r="AK1153" s="66"/>
      <c r="AL1153" s="66"/>
      <c r="AM1153" s="66"/>
      <c r="AN1153" s="66"/>
      <c r="AO1153" s="66"/>
      <c r="AP1153" s="66"/>
      <c r="AQ1153" s="66"/>
      <c r="AR1153" s="68"/>
      <c r="AS1153" s="66"/>
      <c r="AT1153" s="66"/>
      <c r="AU1153" s="66"/>
      <c r="AV1153" s="69"/>
      <c r="AW1153" s="69"/>
      <c r="AX1153" s="69"/>
      <c r="AY1153" s="69"/>
      <c r="AZ1153" s="69"/>
      <c r="BA1153" s="69">
        <v>1</v>
      </c>
      <c r="BB1153" s="69"/>
      <c r="BC1153" s="69"/>
      <c r="BD1153" s="69"/>
      <c r="BE1153" s="69"/>
      <c r="BF1153" s="55"/>
      <c r="BG1153" s="70"/>
      <c r="BH1153" s="63">
        <f t="shared" si="50"/>
        <v>1</v>
      </c>
      <c r="BI1153" s="63">
        <v>1</v>
      </c>
      <c r="BJ1153" s="70"/>
      <c r="BK1153" s="203">
        <f t="shared" si="51"/>
        <v>0</v>
      </c>
      <c r="BL1153" s="63"/>
      <c r="BM1153" s="71"/>
      <c r="BN1153" s="71"/>
      <c r="BO1153" s="71"/>
    </row>
    <row r="1154" spans="2:67" ht="18.95" customHeight="1">
      <c r="B1154" s="51" t="s">
        <v>104</v>
      </c>
      <c r="C1154" s="52" t="s">
        <v>1176</v>
      </c>
      <c r="D1154" s="53" t="s">
        <v>104</v>
      </c>
      <c r="E1154" s="148" t="s">
        <v>1192</v>
      </c>
      <c r="F1154" s="66"/>
      <c r="G1154" s="66"/>
      <c r="H1154" s="66"/>
      <c r="I1154" s="66"/>
      <c r="J1154" s="66"/>
      <c r="K1154" s="66"/>
      <c r="L1154" s="66"/>
      <c r="M1154" s="66"/>
      <c r="N1154" s="67"/>
      <c r="O1154" s="66"/>
      <c r="P1154" s="66"/>
      <c r="Q1154" s="66"/>
      <c r="R1154" s="66"/>
      <c r="S1154" s="66"/>
      <c r="T1154" s="66"/>
      <c r="U1154" s="66"/>
      <c r="V1154" s="66"/>
      <c r="W1154" s="66"/>
      <c r="X1154" s="66"/>
      <c r="Y1154" s="66"/>
      <c r="Z1154" s="66"/>
      <c r="AA1154" s="66"/>
      <c r="AB1154" s="66"/>
      <c r="AC1154" s="66"/>
      <c r="AD1154" s="66"/>
      <c r="AE1154" s="66"/>
      <c r="AF1154" s="66"/>
      <c r="AG1154" s="66"/>
      <c r="AH1154" s="66"/>
      <c r="AI1154" s="66"/>
      <c r="AJ1154" s="66"/>
      <c r="AK1154" s="66"/>
      <c r="AL1154" s="66"/>
      <c r="AM1154" s="66"/>
      <c r="AN1154" s="66"/>
      <c r="AO1154" s="66"/>
      <c r="AP1154" s="66"/>
      <c r="AQ1154" s="66"/>
      <c r="AR1154" s="68"/>
      <c r="AS1154" s="66"/>
      <c r="AT1154" s="66"/>
      <c r="AU1154" s="66"/>
      <c r="AV1154" s="69"/>
      <c r="AW1154" s="69"/>
      <c r="AX1154" s="69"/>
      <c r="AY1154" s="69"/>
      <c r="AZ1154" s="69"/>
      <c r="BA1154" s="69">
        <v>1</v>
      </c>
      <c r="BB1154" s="69"/>
      <c r="BC1154" s="69"/>
      <c r="BD1154" s="69"/>
      <c r="BE1154" s="69"/>
      <c r="BF1154" s="55"/>
      <c r="BG1154" s="70"/>
      <c r="BH1154" s="63">
        <f t="shared" si="50"/>
        <v>1</v>
      </c>
      <c r="BI1154" s="63">
        <v>1</v>
      </c>
      <c r="BJ1154" s="70"/>
      <c r="BK1154" s="203">
        <f t="shared" si="51"/>
        <v>0</v>
      </c>
      <c r="BL1154" s="63"/>
      <c r="BM1154" s="71"/>
      <c r="BN1154" s="71"/>
      <c r="BO1154" s="71"/>
    </row>
    <row r="1155" spans="2:67" ht="18.95" customHeight="1">
      <c r="B1155" s="51" t="s">
        <v>106</v>
      </c>
      <c r="C1155" s="52" t="s">
        <v>1176</v>
      </c>
      <c r="D1155" s="53" t="s">
        <v>106</v>
      </c>
      <c r="E1155" s="148" t="s">
        <v>1193</v>
      </c>
      <c r="F1155" s="66"/>
      <c r="G1155" s="66"/>
      <c r="H1155" s="66"/>
      <c r="I1155" s="66"/>
      <c r="J1155" s="66"/>
      <c r="K1155" s="66"/>
      <c r="L1155" s="66"/>
      <c r="M1155" s="66"/>
      <c r="N1155" s="67"/>
      <c r="O1155" s="66"/>
      <c r="P1155" s="66"/>
      <c r="Q1155" s="66"/>
      <c r="R1155" s="66"/>
      <c r="S1155" s="66"/>
      <c r="T1155" s="66"/>
      <c r="U1155" s="66"/>
      <c r="V1155" s="66"/>
      <c r="W1155" s="66"/>
      <c r="X1155" s="66"/>
      <c r="Y1155" s="66"/>
      <c r="Z1155" s="66"/>
      <c r="AA1155" s="66"/>
      <c r="AB1155" s="66"/>
      <c r="AC1155" s="66"/>
      <c r="AD1155" s="66"/>
      <c r="AE1155" s="66"/>
      <c r="AF1155" s="66"/>
      <c r="AG1155" s="66"/>
      <c r="AH1155" s="66"/>
      <c r="AI1155" s="66"/>
      <c r="AJ1155" s="66"/>
      <c r="AK1155" s="66"/>
      <c r="AL1155" s="66"/>
      <c r="AM1155" s="66"/>
      <c r="AN1155" s="66"/>
      <c r="AO1155" s="66"/>
      <c r="AP1155" s="66"/>
      <c r="AQ1155" s="66"/>
      <c r="AR1155" s="68"/>
      <c r="AS1155" s="66"/>
      <c r="AT1155" s="66"/>
      <c r="AU1155" s="66"/>
      <c r="AV1155" s="69"/>
      <c r="AW1155" s="69"/>
      <c r="AX1155" s="69"/>
      <c r="AY1155" s="69"/>
      <c r="AZ1155" s="69"/>
      <c r="BA1155" s="69">
        <v>2</v>
      </c>
      <c r="BB1155" s="69"/>
      <c r="BC1155" s="69"/>
      <c r="BD1155" s="69"/>
      <c r="BE1155" s="69"/>
      <c r="BF1155" s="55"/>
      <c r="BG1155" s="70"/>
      <c r="BH1155" s="63">
        <f t="shared" si="50"/>
        <v>2</v>
      </c>
      <c r="BI1155" s="63">
        <v>2</v>
      </c>
      <c r="BJ1155" s="70"/>
      <c r="BK1155" s="203">
        <f t="shared" si="51"/>
        <v>0</v>
      </c>
      <c r="BL1155" s="63"/>
      <c r="BM1155" s="71"/>
      <c r="BN1155" s="71"/>
      <c r="BO1155" s="71"/>
    </row>
    <row r="1156" spans="2:67" ht="18.95" customHeight="1">
      <c r="B1156" s="51" t="s">
        <v>108</v>
      </c>
      <c r="C1156" s="52" t="s">
        <v>1176</v>
      </c>
      <c r="D1156" s="53" t="s">
        <v>108</v>
      </c>
      <c r="E1156" s="148" t="s">
        <v>1194</v>
      </c>
      <c r="F1156" s="66"/>
      <c r="G1156" s="66"/>
      <c r="H1156" s="66"/>
      <c r="I1156" s="66"/>
      <c r="J1156" s="66"/>
      <c r="K1156" s="66"/>
      <c r="L1156" s="66"/>
      <c r="M1156" s="66"/>
      <c r="N1156" s="67"/>
      <c r="O1156" s="66"/>
      <c r="P1156" s="66"/>
      <c r="Q1156" s="66"/>
      <c r="R1156" s="66"/>
      <c r="S1156" s="66"/>
      <c r="T1156" s="66"/>
      <c r="U1156" s="66"/>
      <c r="V1156" s="66"/>
      <c r="W1156" s="66"/>
      <c r="X1156" s="66"/>
      <c r="Y1156" s="66"/>
      <c r="Z1156" s="66"/>
      <c r="AA1156" s="66"/>
      <c r="AB1156" s="66"/>
      <c r="AC1156" s="66"/>
      <c r="AD1156" s="66"/>
      <c r="AE1156" s="66"/>
      <c r="AF1156" s="66"/>
      <c r="AG1156" s="66"/>
      <c r="AH1156" s="66"/>
      <c r="AI1156" s="66"/>
      <c r="AJ1156" s="66"/>
      <c r="AK1156" s="66"/>
      <c r="AL1156" s="66"/>
      <c r="AM1156" s="66"/>
      <c r="AN1156" s="66"/>
      <c r="AO1156" s="66"/>
      <c r="AP1156" s="66"/>
      <c r="AQ1156" s="66"/>
      <c r="AR1156" s="68"/>
      <c r="AS1156" s="66"/>
      <c r="AT1156" s="66"/>
      <c r="AU1156" s="66"/>
      <c r="AV1156" s="69"/>
      <c r="AW1156" s="69"/>
      <c r="AX1156" s="69"/>
      <c r="AY1156" s="69"/>
      <c r="AZ1156" s="69"/>
      <c r="BA1156" s="69">
        <v>2</v>
      </c>
      <c r="BB1156" s="69"/>
      <c r="BC1156" s="69"/>
      <c r="BD1156" s="69"/>
      <c r="BE1156" s="69"/>
      <c r="BF1156" s="55"/>
      <c r="BG1156" s="70"/>
      <c r="BH1156" s="63">
        <f t="shared" si="50"/>
        <v>2</v>
      </c>
      <c r="BI1156" s="63">
        <v>2</v>
      </c>
      <c r="BJ1156" s="70"/>
      <c r="BK1156" s="203">
        <f t="shared" si="51"/>
        <v>0</v>
      </c>
      <c r="BL1156" s="63"/>
      <c r="BM1156" s="71"/>
      <c r="BN1156" s="71"/>
      <c r="BO1156" s="71"/>
    </row>
    <row r="1157" spans="2:67" ht="18.95" customHeight="1">
      <c r="B1157" s="51" t="s">
        <v>110</v>
      </c>
      <c r="C1157" s="52" t="s">
        <v>1176</v>
      </c>
      <c r="D1157" s="53" t="s">
        <v>110</v>
      </c>
      <c r="E1157" s="148" t="s">
        <v>1195</v>
      </c>
      <c r="F1157" s="66"/>
      <c r="G1157" s="66"/>
      <c r="H1157" s="66"/>
      <c r="I1157" s="66"/>
      <c r="J1157" s="66"/>
      <c r="K1157" s="66"/>
      <c r="L1157" s="66"/>
      <c r="M1157" s="66"/>
      <c r="N1157" s="67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  <c r="AA1157" s="66"/>
      <c r="AB1157" s="66"/>
      <c r="AC1157" s="66"/>
      <c r="AD1157" s="66"/>
      <c r="AE1157" s="66"/>
      <c r="AF1157" s="66"/>
      <c r="AG1157" s="66"/>
      <c r="AH1157" s="66"/>
      <c r="AI1157" s="66"/>
      <c r="AJ1157" s="66"/>
      <c r="AK1157" s="66"/>
      <c r="AL1157" s="66"/>
      <c r="AM1157" s="66"/>
      <c r="AN1157" s="66"/>
      <c r="AO1157" s="66"/>
      <c r="AP1157" s="66"/>
      <c r="AQ1157" s="66"/>
      <c r="AR1157" s="68"/>
      <c r="AS1157" s="66"/>
      <c r="AT1157" s="66"/>
      <c r="AU1157" s="66"/>
      <c r="AV1157" s="69"/>
      <c r="AW1157" s="69"/>
      <c r="AX1157" s="69"/>
      <c r="AY1157" s="69"/>
      <c r="AZ1157" s="69"/>
      <c r="BA1157" s="69">
        <v>1</v>
      </c>
      <c r="BB1157" s="69"/>
      <c r="BC1157" s="69"/>
      <c r="BD1157" s="69"/>
      <c r="BE1157" s="69"/>
      <c r="BF1157" s="55"/>
      <c r="BG1157" s="70"/>
      <c r="BH1157" s="63">
        <f t="shared" si="50"/>
        <v>1</v>
      </c>
      <c r="BI1157" s="63">
        <v>1</v>
      </c>
      <c r="BJ1157" s="70"/>
      <c r="BK1157" s="203">
        <f t="shared" si="51"/>
        <v>0</v>
      </c>
      <c r="BL1157" s="63"/>
      <c r="BM1157" s="71"/>
      <c r="BN1157" s="71"/>
      <c r="BO1157" s="71"/>
    </row>
    <row r="1158" spans="2:67" ht="18.95" customHeight="1">
      <c r="B1158" s="51" t="s">
        <v>112</v>
      </c>
      <c r="C1158" s="52" t="s">
        <v>1176</v>
      </c>
      <c r="D1158" s="53" t="s">
        <v>112</v>
      </c>
      <c r="E1158" s="148" t="s">
        <v>1196</v>
      </c>
      <c r="F1158" s="66"/>
      <c r="G1158" s="66"/>
      <c r="H1158" s="66"/>
      <c r="I1158" s="66"/>
      <c r="J1158" s="66"/>
      <c r="K1158" s="66"/>
      <c r="L1158" s="66"/>
      <c r="M1158" s="66"/>
      <c r="N1158" s="67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  <c r="AA1158" s="66"/>
      <c r="AB1158" s="66"/>
      <c r="AC1158" s="66"/>
      <c r="AD1158" s="66"/>
      <c r="AE1158" s="66"/>
      <c r="AF1158" s="66"/>
      <c r="AG1158" s="66"/>
      <c r="AH1158" s="66"/>
      <c r="AI1158" s="66"/>
      <c r="AJ1158" s="66"/>
      <c r="AK1158" s="66"/>
      <c r="AL1158" s="66"/>
      <c r="AM1158" s="66"/>
      <c r="AN1158" s="66"/>
      <c r="AO1158" s="66"/>
      <c r="AP1158" s="66"/>
      <c r="AQ1158" s="66"/>
      <c r="AR1158" s="68"/>
      <c r="AS1158" s="66"/>
      <c r="AT1158" s="66"/>
      <c r="AU1158" s="66"/>
      <c r="AV1158" s="69"/>
      <c r="AW1158" s="69"/>
      <c r="AX1158" s="69"/>
      <c r="AY1158" s="69"/>
      <c r="AZ1158" s="69"/>
      <c r="BA1158" s="69">
        <v>1</v>
      </c>
      <c r="BB1158" s="69"/>
      <c r="BC1158" s="69"/>
      <c r="BD1158" s="69"/>
      <c r="BE1158" s="69"/>
      <c r="BF1158" s="55"/>
      <c r="BG1158" s="70"/>
      <c r="BH1158" s="63">
        <f t="shared" si="50"/>
        <v>1</v>
      </c>
      <c r="BI1158" s="63">
        <v>1</v>
      </c>
      <c r="BJ1158" s="70"/>
      <c r="BK1158" s="203">
        <f t="shared" si="51"/>
        <v>0</v>
      </c>
      <c r="BL1158" s="63"/>
      <c r="BM1158" s="71"/>
      <c r="BN1158" s="71"/>
      <c r="BO1158" s="71"/>
    </row>
    <row r="1159" spans="2:67" ht="18.95" customHeight="1">
      <c r="B1159" s="51" t="s">
        <v>114</v>
      </c>
      <c r="C1159" s="52" t="s">
        <v>1176</v>
      </c>
      <c r="D1159" s="53" t="s">
        <v>114</v>
      </c>
      <c r="E1159" s="148" t="s">
        <v>1197</v>
      </c>
      <c r="F1159" s="66"/>
      <c r="G1159" s="66"/>
      <c r="H1159" s="66"/>
      <c r="I1159" s="66"/>
      <c r="J1159" s="66"/>
      <c r="K1159" s="66"/>
      <c r="L1159" s="66"/>
      <c r="M1159" s="66"/>
      <c r="N1159" s="67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  <c r="AA1159" s="66"/>
      <c r="AB1159" s="66"/>
      <c r="AC1159" s="66"/>
      <c r="AD1159" s="66"/>
      <c r="AE1159" s="66"/>
      <c r="AF1159" s="66"/>
      <c r="AG1159" s="66"/>
      <c r="AH1159" s="66"/>
      <c r="AI1159" s="66"/>
      <c r="AJ1159" s="66"/>
      <c r="AK1159" s="66"/>
      <c r="AL1159" s="66"/>
      <c r="AM1159" s="66"/>
      <c r="AN1159" s="66"/>
      <c r="AO1159" s="66"/>
      <c r="AP1159" s="66"/>
      <c r="AQ1159" s="66"/>
      <c r="AR1159" s="68"/>
      <c r="AS1159" s="66"/>
      <c r="AT1159" s="66"/>
      <c r="AU1159" s="66"/>
      <c r="AV1159" s="69"/>
      <c r="AW1159" s="69"/>
      <c r="AX1159" s="69"/>
      <c r="AY1159" s="69"/>
      <c r="AZ1159" s="69"/>
      <c r="BA1159" s="69">
        <v>1</v>
      </c>
      <c r="BB1159" s="69"/>
      <c r="BC1159" s="69"/>
      <c r="BD1159" s="69"/>
      <c r="BE1159" s="69"/>
      <c r="BF1159" s="55"/>
      <c r="BG1159" s="70"/>
      <c r="BH1159" s="63">
        <f t="shared" si="50"/>
        <v>1</v>
      </c>
      <c r="BI1159" s="63">
        <v>1</v>
      </c>
      <c r="BJ1159" s="70"/>
      <c r="BK1159" s="203">
        <f t="shared" si="51"/>
        <v>0</v>
      </c>
      <c r="BL1159" s="63"/>
      <c r="BM1159" s="71"/>
      <c r="BN1159" s="71"/>
      <c r="BO1159" s="71"/>
    </row>
    <row r="1160" spans="2:67" ht="18.95" customHeight="1">
      <c r="B1160" s="51" t="s">
        <v>116</v>
      </c>
      <c r="C1160" s="52" t="s">
        <v>1176</v>
      </c>
      <c r="D1160" s="53" t="s">
        <v>116</v>
      </c>
      <c r="E1160" s="148" t="s">
        <v>1198</v>
      </c>
      <c r="F1160" s="66"/>
      <c r="G1160" s="66"/>
      <c r="H1160" s="66"/>
      <c r="I1160" s="66"/>
      <c r="J1160" s="66"/>
      <c r="K1160" s="66"/>
      <c r="L1160" s="66"/>
      <c r="M1160" s="66"/>
      <c r="N1160" s="67"/>
      <c r="O1160" s="66"/>
      <c r="P1160" s="66"/>
      <c r="Q1160" s="66"/>
      <c r="R1160" s="66"/>
      <c r="S1160" s="66"/>
      <c r="T1160" s="66"/>
      <c r="U1160" s="66"/>
      <c r="V1160" s="66"/>
      <c r="W1160" s="66"/>
      <c r="X1160" s="66"/>
      <c r="Y1160" s="66"/>
      <c r="Z1160" s="66"/>
      <c r="AA1160" s="66"/>
      <c r="AB1160" s="66"/>
      <c r="AC1160" s="66"/>
      <c r="AD1160" s="66"/>
      <c r="AE1160" s="66"/>
      <c r="AF1160" s="66"/>
      <c r="AG1160" s="66"/>
      <c r="AH1160" s="66"/>
      <c r="AI1160" s="66"/>
      <c r="AJ1160" s="66"/>
      <c r="AK1160" s="66"/>
      <c r="AL1160" s="66"/>
      <c r="AM1160" s="66"/>
      <c r="AN1160" s="66"/>
      <c r="AO1160" s="66"/>
      <c r="AP1160" s="66"/>
      <c r="AQ1160" s="66"/>
      <c r="AR1160" s="68"/>
      <c r="AS1160" s="66"/>
      <c r="AT1160" s="66"/>
      <c r="AU1160" s="66"/>
      <c r="AV1160" s="69"/>
      <c r="AW1160" s="69"/>
      <c r="AX1160" s="69"/>
      <c r="AY1160" s="69"/>
      <c r="AZ1160" s="69"/>
      <c r="BA1160" s="69">
        <v>2</v>
      </c>
      <c r="BB1160" s="69"/>
      <c r="BC1160" s="69"/>
      <c r="BD1160" s="69"/>
      <c r="BE1160" s="69"/>
      <c r="BF1160" s="55"/>
      <c r="BG1160" s="70"/>
      <c r="BH1160" s="63">
        <f t="shared" si="50"/>
        <v>2</v>
      </c>
      <c r="BI1160" s="63">
        <v>2</v>
      </c>
      <c r="BJ1160" s="70"/>
      <c r="BK1160" s="203">
        <f t="shared" si="51"/>
        <v>0</v>
      </c>
      <c r="BL1160" s="63"/>
      <c r="BM1160" s="71"/>
      <c r="BN1160" s="71"/>
      <c r="BO1160" s="71"/>
    </row>
    <row r="1161" spans="2:67" ht="18.95" customHeight="1">
      <c r="B1161" s="51" t="s">
        <v>118</v>
      </c>
      <c r="C1161" s="52" t="s">
        <v>1176</v>
      </c>
      <c r="D1161" s="53" t="s">
        <v>118</v>
      </c>
      <c r="E1161" s="204" t="s">
        <v>1199</v>
      </c>
      <c r="F1161" s="66"/>
      <c r="G1161" s="66"/>
      <c r="H1161" s="66"/>
      <c r="I1161" s="66"/>
      <c r="J1161" s="66"/>
      <c r="K1161" s="66"/>
      <c r="L1161" s="66"/>
      <c r="M1161" s="66"/>
      <c r="N1161" s="67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  <c r="Y1161" s="66"/>
      <c r="Z1161" s="66"/>
      <c r="AA1161" s="66"/>
      <c r="AB1161" s="66"/>
      <c r="AC1161" s="66"/>
      <c r="AD1161" s="66"/>
      <c r="AE1161" s="66"/>
      <c r="AF1161" s="66"/>
      <c r="AG1161" s="66"/>
      <c r="AH1161" s="66"/>
      <c r="AI1161" s="66"/>
      <c r="AJ1161" s="66"/>
      <c r="AK1161" s="66"/>
      <c r="AL1161" s="66"/>
      <c r="AM1161" s="66"/>
      <c r="AN1161" s="66"/>
      <c r="AO1161" s="66"/>
      <c r="AP1161" s="66"/>
      <c r="AQ1161" s="66"/>
      <c r="AR1161" s="68"/>
      <c r="AS1161" s="66"/>
      <c r="AT1161" s="66"/>
      <c r="AU1161" s="66"/>
      <c r="AV1161" s="69"/>
      <c r="AW1161" s="69"/>
      <c r="AX1161" s="69"/>
      <c r="AY1161" s="69"/>
      <c r="AZ1161" s="69"/>
      <c r="BA1161" s="69">
        <v>2</v>
      </c>
      <c r="BB1161" s="69"/>
      <c r="BC1161" s="69"/>
      <c r="BD1161" s="69"/>
      <c r="BE1161" s="69"/>
      <c r="BF1161" s="55"/>
      <c r="BG1161" s="70"/>
      <c r="BH1161" s="63">
        <f t="shared" si="50"/>
        <v>2</v>
      </c>
      <c r="BI1161" s="63">
        <v>2</v>
      </c>
      <c r="BJ1161" s="70"/>
      <c r="BK1161" s="203">
        <f t="shared" si="51"/>
        <v>0</v>
      </c>
      <c r="BL1161" s="63"/>
      <c r="BM1161" s="71"/>
      <c r="BN1161" s="71"/>
      <c r="BO1161" s="71"/>
    </row>
    <row r="1162" spans="2:67" ht="18.95" customHeight="1">
      <c r="B1162" s="51" t="s">
        <v>120</v>
      </c>
      <c r="C1162" s="52" t="s">
        <v>1176</v>
      </c>
      <c r="D1162" s="53" t="s">
        <v>120</v>
      </c>
      <c r="E1162" s="114" t="s">
        <v>1200</v>
      </c>
      <c r="F1162" s="66"/>
      <c r="G1162" s="66"/>
      <c r="H1162" s="66"/>
      <c r="I1162" s="66"/>
      <c r="J1162" s="66"/>
      <c r="K1162" s="66"/>
      <c r="L1162" s="66"/>
      <c r="M1162" s="66"/>
      <c r="N1162" s="67"/>
      <c r="O1162" s="66"/>
      <c r="P1162" s="66"/>
      <c r="Q1162" s="66"/>
      <c r="R1162" s="66"/>
      <c r="S1162" s="66"/>
      <c r="T1162" s="66"/>
      <c r="U1162" s="66"/>
      <c r="V1162" s="66"/>
      <c r="W1162" s="66"/>
      <c r="X1162" s="66"/>
      <c r="Y1162" s="66"/>
      <c r="Z1162" s="66"/>
      <c r="AA1162" s="66"/>
      <c r="AB1162" s="66"/>
      <c r="AC1162" s="66"/>
      <c r="AD1162" s="66"/>
      <c r="AE1162" s="66"/>
      <c r="AF1162" s="66"/>
      <c r="AG1162" s="66"/>
      <c r="AH1162" s="66"/>
      <c r="AI1162" s="66"/>
      <c r="AJ1162" s="66"/>
      <c r="AK1162" s="66"/>
      <c r="AL1162" s="66"/>
      <c r="AM1162" s="66"/>
      <c r="AN1162" s="66"/>
      <c r="AO1162" s="66"/>
      <c r="AP1162" s="66"/>
      <c r="AQ1162" s="66"/>
      <c r="AR1162" s="68"/>
      <c r="AS1162" s="66"/>
      <c r="AT1162" s="66"/>
      <c r="AU1162" s="66"/>
      <c r="AV1162" s="69"/>
      <c r="AW1162" s="69"/>
      <c r="AX1162" s="69"/>
      <c r="AY1162" s="69"/>
      <c r="AZ1162" s="69"/>
      <c r="BA1162" s="69">
        <v>1</v>
      </c>
      <c r="BB1162" s="69"/>
      <c r="BC1162" s="69"/>
      <c r="BD1162" s="69"/>
      <c r="BE1162" s="69"/>
      <c r="BF1162" s="55"/>
      <c r="BG1162" s="70"/>
      <c r="BH1162" s="63">
        <f t="shared" si="50"/>
        <v>1</v>
      </c>
      <c r="BI1162" s="63">
        <v>1</v>
      </c>
      <c r="BJ1162" s="70"/>
      <c r="BK1162" s="203">
        <f t="shared" si="51"/>
        <v>0</v>
      </c>
      <c r="BL1162" s="63"/>
      <c r="BM1162" s="71"/>
      <c r="BN1162" s="71"/>
      <c r="BO1162" s="71"/>
    </row>
    <row r="1163" spans="2:67" ht="18.95" customHeight="1">
      <c r="B1163" s="51" t="s">
        <v>122</v>
      </c>
      <c r="C1163" s="52" t="s">
        <v>1176</v>
      </c>
      <c r="D1163" s="53" t="s">
        <v>122</v>
      </c>
      <c r="E1163" s="148" t="s">
        <v>1201</v>
      </c>
      <c r="F1163" s="66"/>
      <c r="G1163" s="66"/>
      <c r="H1163" s="66"/>
      <c r="I1163" s="66"/>
      <c r="J1163" s="66"/>
      <c r="K1163" s="66"/>
      <c r="L1163" s="66"/>
      <c r="M1163" s="66"/>
      <c r="N1163" s="67"/>
      <c r="O1163" s="66"/>
      <c r="P1163" s="66"/>
      <c r="Q1163" s="66"/>
      <c r="R1163" s="66"/>
      <c r="S1163" s="66"/>
      <c r="T1163" s="66"/>
      <c r="U1163" s="66"/>
      <c r="V1163" s="66"/>
      <c r="W1163" s="66"/>
      <c r="X1163" s="66"/>
      <c r="Y1163" s="66"/>
      <c r="Z1163" s="66"/>
      <c r="AA1163" s="66"/>
      <c r="AB1163" s="66"/>
      <c r="AC1163" s="66"/>
      <c r="AD1163" s="66"/>
      <c r="AE1163" s="66"/>
      <c r="AF1163" s="66"/>
      <c r="AG1163" s="66"/>
      <c r="AH1163" s="66"/>
      <c r="AI1163" s="66"/>
      <c r="AJ1163" s="66"/>
      <c r="AK1163" s="66"/>
      <c r="AL1163" s="75"/>
      <c r="AM1163" s="66"/>
      <c r="AN1163" s="66"/>
      <c r="AO1163" s="66"/>
      <c r="AP1163" s="66"/>
      <c r="AQ1163" s="66"/>
      <c r="AR1163" s="68"/>
      <c r="AS1163" s="66"/>
      <c r="AT1163" s="66"/>
      <c r="AU1163" s="66"/>
      <c r="AV1163" s="69"/>
      <c r="AW1163" s="69"/>
      <c r="AX1163" s="69"/>
      <c r="AY1163" s="69"/>
      <c r="AZ1163" s="69"/>
      <c r="BA1163" s="69">
        <v>1</v>
      </c>
      <c r="BB1163" s="69"/>
      <c r="BC1163" s="69"/>
      <c r="BD1163" s="69"/>
      <c r="BE1163" s="69"/>
      <c r="BF1163" s="55"/>
      <c r="BG1163" s="70"/>
      <c r="BH1163" s="63">
        <f t="shared" si="50"/>
        <v>1</v>
      </c>
      <c r="BI1163" s="63">
        <v>1</v>
      </c>
      <c r="BJ1163" s="70"/>
      <c r="BK1163" s="203">
        <f t="shared" si="51"/>
        <v>0</v>
      </c>
      <c r="BL1163" s="63"/>
      <c r="BM1163" s="71"/>
      <c r="BN1163" s="71"/>
      <c r="BO1163" s="71"/>
    </row>
    <row r="1164" spans="2:67" ht="18.95" customHeight="1">
      <c r="B1164" s="51" t="s">
        <v>124</v>
      </c>
      <c r="C1164" s="52" t="s">
        <v>1176</v>
      </c>
      <c r="D1164" s="53" t="s">
        <v>124</v>
      </c>
      <c r="E1164" s="204" t="s">
        <v>1202</v>
      </c>
      <c r="F1164" s="66"/>
      <c r="G1164" s="66"/>
      <c r="H1164" s="66"/>
      <c r="I1164" s="66"/>
      <c r="J1164" s="66"/>
      <c r="K1164" s="66"/>
      <c r="L1164" s="66"/>
      <c r="M1164" s="66"/>
      <c r="N1164" s="67"/>
      <c r="O1164" s="66"/>
      <c r="P1164" s="66"/>
      <c r="Q1164" s="66"/>
      <c r="R1164" s="66"/>
      <c r="S1164" s="66"/>
      <c r="T1164" s="66"/>
      <c r="U1164" s="66"/>
      <c r="V1164" s="66"/>
      <c r="W1164" s="66"/>
      <c r="X1164" s="66"/>
      <c r="Y1164" s="66"/>
      <c r="Z1164" s="66"/>
      <c r="AA1164" s="66"/>
      <c r="AB1164" s="66"/>
      <c r="AC1164" s="66"/>
      <c r="AD1164" s="66"/>
      <c r="AE1164" s="66"/>
      <c r="AF1164" s="66"/>
      <c r="AG1164" s="66"/>
      <c r="AH1164" s="66"/>
      <c r="AI1164" s="66"/>
      <c r="AJ1164" s="66"/>
      <c r="AK1164" s="66"/>
      <c r="AL1164" s="75"/>
      <c r="AM1164" s="66"/>
      <c r="AN1164" s="66"/>
      <c r="AO1164" s="66"/>
      <c r="AP1164" s="66"/>
      <c r="AQ1164" s="66"/>
      <c r="AR1164" s="68"/>
      <c r="AS1164" s="66"/>
      <c r="AT1164" s="66"/>
      <c r="AU1164" s="66"/>
      <c r="AV1164" s="69"/>
      <c r="AW1164" s="69"/>
      <c r="AX1164" s="69"/>
      <c r="AY1164" s="69"/>
      <c r="AZ1164" s="69"/>
      <c r="BA1164" s="69">
        <v>2</v>
      </c>
      <c r="BB1164" s="69"/>
      <c r="BC1164" s="69"/>
      <c r="BD1164" s="69"/>
      <c r="BE1164" s="69"/>
      <c r="BF1164" s="55"/>
      <c r="BG1164" s="70"/>
      <c r="BH1164" s="63">
        <f t="shared" si="50"/>
        <v>2</v>
      </c>
      <c r="BI1164" s="63">
        <v>2</v>
      </c>
      <c r="BJ1164" s="70"/>
      <c r="BK1164" s="203">
        <f t="shared" si="51"/>
        <v>0</v>
      </c>
      <c r="BL1164" s="63"/>
      <c r="BM1164" s="71"/>
      <c r="BN1164" s="71"/>
      <c r="BO1164" s="71"/>
    </row>
    <row r="1165" spans="2:67" ht="18.95" customHeight="1">
      <c r="B1165" s="51" t="s">
        <v>126</v>
      </c>
      <c r="C1165" s="52" t="s">
        <v>1176</v>
      </c>
      <c r="D1165" s="53" t="s">
        <v>126</v>
      </c>
      <c r="E1165" s="204" t="s">
        <v>1203</v>
      </c>
      <c r="F1165" s="66"/>
      <c r="G1165" s="66"/>
      <c r="H1165" s="66"/>
      <c r="I1165" s="66"/>
      <c r="J1165" s="66"/>
      <c r="K1165" s="66"/>
      <c r="L1165" s="66"/>
      <c r="M1165" s="66"/>
      <c r="N1165" s="67"/>
      <c r="O1165" s="66"/>
      <c r="P1165" s="66"/>
      <c r="Q1165" s="66"/>
      <c r="R1165" s="66"/>
      <c r="S1165" s="66"/>
      <c r="T1165" s="66"/>
      <c r="U1165" s="66"/>
      <c r="V1165" s="66"/>
      <c r="W1165" s="66"/>
      <c r="X1165" s="66"/>
      <c r="Y1165" s="66"/>
      <c r="Z1165" s="66"/>
      <c r="AA1165" s="66"/>
      <c r="AB1165" s="66"/>
      <c r="AC1165" s="66"/>
      <c r="AD1165" s="66"/>
      <c r="AE1165" s="66"/>
      <c r="AF1165" s="66"/>
      <c r="AG1165" s="66"/>
      <c r="AH1165" s="66"/>
      <c r="AI1165" s="66"/>
      <c r="AJ1165" s="66"/>
      <c r="AK1165" s="66"/>
      <c r="AL1165" s="66"/>
      <c r="AM1165" s="66"/>
      <c r="AN1165" s="66"/>
      <c r="AO1165" s="66"/>
      <c r="AP1165" s="66"/>
      <c r="AQ1165" s="66"/>
      <c r="AR1165" s="68"/>
      <c r="AS1165" s="66"/>
      <c r="AT1165" s="66"/>
      <c r="AU1165" s="66"/>
      <c r="AV1165" s="69"/>
      <c r="AW1165" s="69"/>
      <c r="AX1165" s="69"/>
      <c r="AY1165" s="69"/>
      <c r="AZ1165" s="69"/>
      <c r="BA1165" s="69">
        <v>2</v>
      </c>
      <c r="BB1165" s="69"/>
      <c r="BC1165" s="69"/>
      <c r="BD1165" s="69"/>
      <c r="BE1165" s="69"/>
      <c r="BF1165" s="55"/>
      <c r="BG1165" s="70"/>
      <c r="BH1165" s="63">
        <f t="shared" si="50"/>
        <v>2</v>
      </c>
      <c r="BI1165" s="63">
        <v>2</v>
      </c>
      <c r="BJ1165" s="70"/>
      <c r="BK1165" s="203">
        <f t="shared" si="51"/>
        <v>0</v>
      </c>
      <c r="BL1165" s="63"/>
      <c r="BM1165" s="71"/>
      <c r="BN1165" s="65"/>
      <c r="BO1165" s="65"/>
    </row>
    <row r="1166" spans="2:67" ht="18.95" customHeight="1">
      <c r="B1166" s="51" t="s">
        <v>128</v>
      </c>
      <c r="C1166" s="52" t="s">
        <v>1176</v>
      </c>
      <c r="D1166" s="53" t="s">
        <v>128</v>
      </c>
      <c r="E1166" s="204" t="s">
        <v>1204</v>
      </c>
      <c r="F1166" s="55"/>
      <c r="G1166" s="66"/>
      <c r="H1166" s="66"/>
      <c r="I1166" s="66"/>
      <c r="J1166" s="66"/>
      <c r="K1166" s="66"/>
      <c r="L1166" s="66"/>
      <c r="M1166" s="66"/>
      <c r="N1166" s="67"/>
      <c r="O1166" s="66"/>
      <c r="P1166" s="66"/>
      <c r="Q1166" s="66"/>
      <c r="R1166" s="66"/>
      <c r="S1166" s="66"/>
      <c r="T1166" s="66"/>
      <c r="U1166" s="66"/>
      <c r="V1166" s="66"/>
      <c r="W1166" s="66"/>
      <c r="X1166" s="66"/>
      <c r="Y1166" s="66"/>
      <c r="Z1166" s="66"/>
      <c r="AA1166" s="66"/>
      <c r="AB1166" s="66"/>
      <c r="AC1166" s="66"/>
      <c r="AD1166" s="66"/>
      <c r="AE1166" s="66"/>
      <c r="AF1166" s="66"/>
      <c r="AG1166" s="66"/>
      <c r="AH1166" s="66"/>
      <c r="AI1166" s="66"/>
      <c r="AJ1166" s="66"/>
      <c r="AK1166" s="66"/>
      <c r="AL1166" s="75"/>
      <c r="AM1166" s="66"/>
      <c r="AN1166" s="66"/>
      <c r="AO1166" s="66"/>
      <c r="AP1166" s="66"/>
      <c r="AQ1166" s="66"/>
      <c r="AR1166" s="68"/>
      <c r="AS1166" s="66"/>
      <c r="AT1166" s="66"/>
      <c r="AU1166" s="66"/>
      <c r="AV1166" s="69"/>
      <c r="AW1166" s="69"/>
      <c r="AX1166" s="69"/>
      <c r="AY1166" s="69"/>
      <c r="AZ1166" s="69"/>
      <c r="BA1166" s="69">
        <v>2</v>
      </c>
      <c r="BB1166" s="69"/>
      <c r="BC1166" s="69"/>
      <c r="BD1166" s="69"/>
      <c r="BE1166" s="69"/>
      <c r="BF1166" s="55"/>
      <c r="BG1166" s="70"/>
      <c r="BH1166" s="63">
        <f t="shared" si="50"/>
        <v>2</v>
      </c>
      <c r="BI1166" s="63">
        <v>2</v>
      </c>
      <c r="BJ1166" s="70"/>
      <c r="BK1166" s="203">
        <f t="shared" si="51"/>
        <v>0</v>
      </c>
      <c r="BL1166" s="63"/>
      <c r="BM1166" s="71"/>
      <c r="BN1166" s="65"/>
      <c r="BO1166" s="65"/>
    </row>
    <row r="1167" spans="2:67" ht="18.95" customHeight="1">
      <c r="B1167" s="51" t="s">
        <v>130</v>
      </c>
      <c r="C1167" s="52" t="s">
        <v>1176</v>
      </c>
      <c r="D1167" s="53" t="s">
        <v>130</v>
      </c>
      <c r="E1167" s="148" t="s">
        <v>1205</v>
      </c>
      <c r="F1167" s="66"/>
      <c r="G1167" s="66"/>
      <c r="H1167" s="66"/>
      <c r="I1167" s="66"/>
      <c r="J1167" s="66"/>
      <c r="K1167" s="66"/>
      <c r="L1167" s="66"/>
      <c r="M1167" s="66"/>
      <c r="N1167" s="67"/>
      <c r="O1167" s="66"/>
      <c r="P1167" s="66"/>
      <c r="Q1167" s="66"/>
      <c r="R1167" s="66"/>
      <c r="S1167" s="66"/>
      <c r="T1167" s="66"/>
      <c r="U1167" s="66"/>
      <c r="V1167" s="66"/>
      <c r="W1167" s="66"/>
      <c r="X1167" s="66"/>
      <c r="Y1167" s="66"/>
      <c r="Z1167" s="66"/>
      <c r="AA1167" s="66"/>
      <c r="AB1167" s="66"/>
      <c r="AC1167" s="66"/>
      <c r="AD1167" s="66"/>
      <c r="AE1167" s="66"/>
      <c r="AF1167" s="66"/>
      <c r="AG1167" s="66"/>
      <c r="AH1167" s="66"/>
      <c r="AI1167" s="66"/>
      <c r="AJ1167" s="66"/>
      <c r="AK1167" s="66"/>
      <c r="AL1167" s="66"/>
      <c r="AM1167" s="66"/>
      <c r="AN1167" s="66"/>
      <c r="AO1167" s="66"/>
      <c r="AP1167" s="66"/>
      <c r="AQ1167" s="66"/>
      <c r="AR1167" s="68"/>
      <c r="AS1167" s="66"/>
      <c r="AT1167" s="66"/>
      <c r="AU1167" s="66"/>
      <c r="AV1167" s="69"/>
      <c r="AW1167" s="69"/>
      <c r="AX1167" s="69"/>
      <c r="AY1167" s="69"/>
      <c r="AZ1167" s="69"/>
      <c r="BA1167" s="69">
        <v>1</v>
      </c>
      <c r="BB1167" s="69"/>
      <c r="BC1167" s="69"/>
      <c r="BD1167" s="69"/>
      <c r="BE1167" s="69"/>
      <c r="BF1167" s="55"/>
      <c r="BG1167" s="70"/>
      <c r="BH1167" s="63">
        <f t="shared" si="50"/>
        <v>1</v>
      </c>
      <c r="BI1167" s="63">
        <v>1</v>
      </c>
      <c r="BJ1167" s="70"/>
      <c r="BK1167" s="203">
        <f t="shared" si="51"/>
        <v>0</v>
      </c>
      <c r="BL1167" s="63"/>
      <c r="BM1167" s="71"/>
      <c r="BN1167" s="71"/>
      <c r="BO1167" s="71"/>
    </row>
    <row r="1168" spans="2:67" ht="18.95" customHeight="1">
      <c r="B1168" s="51" t="s">
        <v>132</v>
      </c>
      <c r="C1168" s="52" t="s">
        <v>1176</v>
      </c>
      <c r="D1168" s="53" t="s">
        <v>132</v>
      </c>
      <c r="E1168" s="204" t="s">
        <v>1206</v>
      </c>
      <c r="F1168" s="55"/>
      <c r="G1168" s="55"/>
      <c r="H1168" s="55"/>
      <c r="I1168" s="55"/>
      <c r="J1168" s="55"/>
      <c r="K1168" s="55"/>
      <c r="L1168" s="55"/>
      <c r="M1168" s="55"/>
      <c r="N1168" s="56"/>
      <c r="O1168" s="55"/>
      <c r="P1168" s="55"/>
      <c r="Q1168" s="55"/>
      <c r="R1168" s="55"/>
      <c r="S1168" s="55"/>
      <c r="T1168" s="55"/>
      <c r="U1168" s="55"/>
      <c r="V1168" s="55"/>
      <c r="W1168" s="55"/>
      <c r="X1168" s="55"/>
      <c r="Y1168" s="55"/>
      <c r="Z1168" s="55"/>
      <c r="AA1168" s="55"/>
      <c r="AB1168" s="55"/>
      <c r="AC1168" s="55"/>
      <c r="AD1168" s="55"/>
      <c r="AE1168" s="55"/>
      <c r="AF1168" s="55"/>
      <c r="AG1168" s="55"/>
      <c r="AH1168" s="55"/>
      <c r="AI1168" s="55"/>
      <c r="AJ1168" s="55"/>
      <c r="AK1168" s="55"/>
      <c r="AL1168" s="55"/>
      <c r="AM1168" s="55"/>
      <c r="AN1168" s="55"/>
      <c r="AO1168" s="55"/>
      <c r="AP1168" s="55"/>
      <c r="AQ1168" s="55"/>
      <c r="AR1168" s="76"/>
      <c r="AS1168" s="55"/>
      <c r="AT1168" s="55"/>
      <c r="AU1168" s="55"/>
      <c r="AV1168" s="55"/>
      <c r="AW1168" s="55"/>
      <c r="AX1168" s="55"/>
      <c r="AY1168" s="55"/>
      <c r="AZ1168" s="55"/>
      <c r="BA1168" s="55">
        <v>1</v>
      </c>
      <c r="BB1168" s="55"/>
      <c r="BC1168" s="55"/>
      <c r="BD1168" s="55"/>
      <c r="BE1168" s="55"/>
      <c r="BF1168" s="55"/>
      <c r="BG1168" s="70"/>
      <c r="BH1168" s="63">
        <f t="shared" si="50"/>
        <v>1</v>
      </c>
      <c r="BI1168" s="63">
        <v>1</v>
      </c>
      <c r="BJ1168" s="70"/>
      <c r="BK1168" s="203">
        <f t="shared" si="51"/>
        <v>0</v>
      </c>
      <c r="BL1168" s="63"/>
      <c r="BM1168" s="71"/>
      <c r="BN1168" s="65"/>
      <c r="BO1168" s="65"/>
    </row>
    <row r="1181" spans="2:67">
      <c r="B1181" s="2" t="s">
        <v>1</v>
      </c>
      <c r="C1181" s="2"/>
      <c r="D1181" s="2"/>
      <c r="E1181" s="2"/>
      <c r="F1181" s="3"/>
      <c r="G1181" s="4"/>
      <c r="H1181" s="4"/>
      <c r="I1181" s="4"/>
      <c r="J1181" s="4"/>
      <c r="K1181" s="4"/>
      <c r="L1181" s="4"/>
      <c r="M1181" s="4"/>
      <c r="N1181" s="107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5"/>
      <c r="AF1181" s="5"/>
      <c r="AG1181" s="5"/>
      <c r="AH1181" s="5"/>
      <c r="AI1181" s="5"/>
      <c r="AJ1181" s="5"/>
      <c r="AK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7"/>
      <c r="BI1181" s="7"/>
      <c r="BJ1181" s="5"/>
      <c r="BK1181" s="5"/>
      <c r="BM1181" s="5"/>
      <c r="BN1181" s="5"/>
      <c r="BO1181" s="5"/>
    </row>
    <row r="1182" spans="2:67" ht="18.75" customHeight="1">
      <c r="B1182" s="2"/>
      <c r="C1182" s="2"/>
      <c r="D1182" s="2"/>
      <c r="E1182" s="2"/>
      <c r="F1182" s="1" t="s">
        <v>0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8"/>
      <c r="AV1182" s="8"/>
      <c r="AW1182" s="8"/>
      <c r="AX1182" s="8"/>
      <c r="AY1182" s="8"/>
      <c r="AZ1182" s="8"/>
      <c r="BA1182" s="8"/>
      <c r="BB1182" s="8"/>
      <c r="BC1182" s="8"/>
      <c r="BD1182" s="8"/>
      <c r="BE1182" s="8"/>
      <c r="BF1182" s="9" t="s">
        <v>1207</v>
      </c>
      <c r="BG1182" s="10"/>
      <c r="BH1182" s="10"/>
      <c r="BI1182" s="10"/>
      <c r="BJ1182" s="10"/>
      <c r="BK1182" s="10"/>
      <c r="BL1182" s="10"/>
      <c r="BM1182" s="10"/>
      <c r="BN1182" s="10"/>
      <c r="BO1182" s="11"/>
    </row>
    <row r="1183" spans="2:67">
      <c r="B1183" s="12"/>
      <c r="C1183" s="12"/>
      <c r="D1183" s="12"/>
      <c r="E1183" s="12"/>
      <c r="F1183" s="13"/>
      <c r="G1183" s="14" t="s">
        <v>1175</v>
      </c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6"/>
      <c r="AM1183" s="15"/>
      <c r="AN1183" s="15"/>
      <c r="AO1183" s="15"/>
      <c r="AP1183" s="15"/>
      <c r="AQ1183" s="15"/>
      <c r="AR1183" s="17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8"/>
      <c r="BM1183" s="15"/>
      <c r="BN1183" s="15"/>
      <c r="BO1183" s="15"/>
    </row>
    <row r="1184" spans="2:67" ht="15">
      <c r="B1184" s="19" t="s">
        <v>4</v>
      </c>
      <c r="C1184" s="20" t="s">
        <v>5</v>
      </c>
      <c r="D1184" s="20"/>
      <c r="E1184" s="205" t="s">
        <v>6</v>
      </c>
      <c r="F1184" s="110" t="s">
        <v>135</v>
      </c>
      <c r="G1184" s="111"/>
      <c r="H1184" s="111"/>
      <c r="I1184" s="111"/>
      <c r="J1184" s="111"/>
      <c r="K1184" s="111"/>
      <c r="L1184" s="111"/>
      <c r="M1184" s="111"/>
      <c r="N1184" s="111"/>
      <c r="O1184" s="111"/>
      <c r="P1184" s="111"/>
      <c r="Q1184" s="111"/>
      <c r="R1184" s="111"/>
      <c r="S1184" s="111"/>
      <c r="T1184" s="111"/>
      <c r="U1184" s="111"/>
      <c r="V1184" s="111"/>
      <c r="W1184" s="111"/>
      <c r="X1184" s="111"/>
      <c r="Y1184" s="111"/>
      <c r="Z1184" s="111"/>
      <c r="AA1184" s="111"/>
      <c r="AB1184" s="111"/>
      <c r="AC1184" s="111"/>
      <c r="AD1184" s="111"/>
      <c r="AE1184" s="111"/>
      <c r="AF1184" s="111"/>
      <c r="AG1184" s="111"/>
      <c r="AH1184" s="111"/>
      <c r="AI1184" s="111"/>
      <c r="AJ1184" s="111"/>
      <c r="AK1184" s="111"/>
      <c r="AL1184" s="111"/>
      <c r="AM1184" s="111"/>
      <c r="AN1184" s="111"/>
      <c r="AO1184" s="111"/>
      <c r="AP1184" s="111"/>
      <c r="AQ1184" s="111"/>
      <c r="AR1184" s="111"/>
      <c r="AS1184" s="111"/>
      <c r="AT1184" s="111"/>
      <c r="AU1184" s="111"/>
      <c r="AV1184" s="111"/>
      <c r="AW1184" s="111"/>
      <c r="AX1184" s="111"/>
      <c r="AY1184" s="111"/>
      <c r="AZ1184" s="111"/>
      <c r="BA1184" s="111"/>
      <c r="BB1184" s="111"/>
      <c r="BC1184" s="111"/>
      <c r="BD1184" s="111"/>
      <c r="BE1184" s="111"/>
      <c r="BF1184" s="24" t="s">
        <v>8</v>
      </c>
      <c r="BG1184" s="25"/>
      <c r="BH1184" s="25"/>
      <c r="BI1184" s="26"/>
      <c r="BJ1184" s="31" t="s">
        <v>9</v>
      </c>
      <c r="BK1184" s="32"/>
      <c r="BL1184" s="29"/>
      <c r="BM1184" s="30"/>
      <c r="BN1184" s="31" t="s">
        <v>10</v>
      </c>
      <c r="BO1184" s="32"/>
    </row>
    <row r="1185" spans="1:67" ht="110.1" customHeight="1">
      <c r="B1185" s="33"/>
      <c r="C1185" s="34" t="s">
        <v>11</v>
      </c>
      <c r="D1185" s="35" t="s">
        <v>4</v>
      </c>
      <c r="E1185" s="35" t="s">
        <v>12</v>
      </c>
      <c r="F1185" s="36" t="s">
        <v>13</v>
      </c>
      <c r="G1185" s="36" t="s">
        <v>14</v>
      </c>
      <c r="H1185" s="36" t="s">
        <v>15</v>
      </c>
      <c r="I1185" s="36" t="s">
        <v>16</v>
      </c>
      <c r="J1185" s="36" t="s">
        <v>17</v>
      </c>
      <c r="K1185" s="36" t="s">
        <v>18</v>
      </c>
      <c r="L1185" s="36" t="s">
        <v>19</v>
      </c>
      <c r="M1185" s="36" t="s">
        <v>20</v>
      </c>
      <c r="N1185" s="37" t="s">
        <v>21</v>
      </c>
      <c r="O1185" s="36" t="s">
        <v>22</v>
      </c>
      <c r="P1185" s="36" t="s">
        <v>23</v>
      </c>
      <c r="Q1185" s="36" t="s">
        <v>24</v>
      </c>
      <c r="R1185" s="36" t="s">
        <v>25</v>
      </c>
      <c r="S1185" s="36" t="s">
        <v>26</v>
      </c>
      <c r="T1185" s="36" t="s">
        <v>27</v>
      </c>
      <c r="U1185" s="36" t="s">
        <v>28</v>
      </c>
      <c r="V1185" s="36" t="s">
        <v>29</v>
      </c>
      <c r="W1185" s="36" t="s">
        <v>30</v>
      </c>
      <c r="X1185" s="38" t="s">
        <v>31</v>
      </c>
      <c r="Y1185" s="36" t="s">
        <v>32</v>
      </c>
      <c r="Z1185" s="36" t="s">
        <v>33</v>
      </c>
      <c r="AA1185" s="36" t="s">
        <v>34</v>
      </c>
      <c r="AB1185" s="38" t="s">
        <v>35</v>
      </c>
      <c r="AC1185" s="36" t="s">
        <v>36</v>
      </c>
      <c r="AD1185" s="39" t="s">
        <v>37</v>
      </c>
      <c r="AE1185" s="36" t="s">
        <v>38</v>
      </c>
      <c r="AF1185" s="40" t="s">
        <v>39</v>
      </c>
      <c r="AG1185" s="40" t="s">
        <v>40</v>
      </c>
      <c r="AH1185" s="40" t="s">
        <v>41</v>
      </c>
      <c r="AI1185" s="40" t="s">
        <v>42</v>
      </c>
      <c r="AJ1185" s="40" t="s">
        <v>43</v>
      </c>
      <c r="AK1185" s="40" t="s">
        <v>44</v>
      </c>
      <c r="AL1185" s="41" t="s">
        <v>45</v>
      </c>
      <c r="AM1185" s="42" t="s">
        <v>46</v>
      </c>
      <c r="AN1185" s="43" t="s">
        <v>47</v>
      </c>
      <c r="AO1185" s="40" t="s">
        <v>48</v>
      </c>
      <c r="AP1185" s="40" t="s">
        <v>49</v>
      </c>
      <c r="AQ1185" s="40" t="s">
        <v>50</v>
      </c>
      <c r="AR1185" s="44" t="s">
        <v>136</v>
      </c>
      <c r="AS1185" s="36" t="s">
        <v>52</v>
      </c>
      <c r="AT1185" s="36" t="s">
        <v>53</v>
      </c>
      <c r="AU1185" s="36" t="s">
        <v>54</v>
      </c>
      <c r="AV1185" s="36" t="s">
        <v>55</v>
      </c>
      <c r="AW1185" s="36" t="s">
        <v>56</v>
      </c>
      <c r="AX1185" s="36" t="s">
        <v>203</v>
      </c>
      <c r="AY1185" s="36" t="s">
        <v>58</v>
      </c>
      <c r="AZ1185" s="38" t="s">
        <v>59</v>
      </c>
      <c r="BA1185" s="36" t="s">
        <v>60</v>
      </c>
      <c r="BB1185" s="36" t="s">
        <v>61</v>
      </c>
      <c r="BC1185" s="39" t="s">
        <v>62</v>
      </c>
      <c r="BD1185" s="36" t="s">
        <v>63</v>
      </c>
      <c r="BE1185" s="36" t="s">
        <v>64</v>
      </c>
      <c r="BF1185" s="45" t="s">
        <v>65</v>
      </c>
      <c r="BG1185" s="45" t="s">
        <v>66</v>
      </c>
      <c r="BH1185" s="45" t="s">
        <v>67</v>
      </c>
      <c r="BI1185" s="45" t="s">
        <v>68</v>
      </c>
      <c r="BJ1185" s="46" t="s">
        <v>69</v>
      </c>
      <c r="BK1185" s="46" t="s">
        <v>70</v>
      </c>
      <c r="BL1185" s="47" t="s">
        <v>71</v>
      </c>
      <c r="BM1185" s="48" t="s">
        <v>72</v>
      </c>
      <c r="BN1185" s="49" t="s">
        <v>69</v>
      </c>
      <c r="BO1185" s="50" t="s">
        <v>70</v>
      </c>
    </row>
    <row r="1186" spans="1:67" ht="18.95" customHeight="1">
      <c r="B1186" s="51" t="s">
        <v>138</v>
      </c>
      <c r="C1186" s="52" t="s">
        <v>1176</v>
      </c>
      <c r="D1186" s="53" t="s">
        <v>138</v>
      </c>
      <c r="E1186" s="148" t="s">
        <v>1208</v>
      </c>
      <c r="F1186" s="55"/>
      <c r="G1186" s="55"/>
      <c r="H1186" s="55"/>
      <c r="I1186" s="55"/>
      <c r="J1186" s="55"/>
      <c r="K1186" s="55"/>
      <c r="L1186" s="55"/>
      <c r="M1186" s="55"/>
      <c r="N1186" s="56"/>
      <c r="O1186" s="55"/>
      <c r="P1186" s="55"/>
      <c r="Q1186" s="57"/>
      <c r="R1186" s="55"/>
      <c r="S1186" s="58"/>
      <c r="T1186" s="58"/>
      <c r="U1186" s="55"/>
      <c r="V1186" s="55"/>
      <c r="W1186" s="55"/>
      <c r="X1186" s="55"/>
      <c r="Y1186" s="55"/>
      <c r="Z1186" s="55"/>
      <c r="AA1186" s="55"/>
      <c r="AB1186" s="55"/>
      <c r="AC1186" s="55"/>
      <c r="AD1186" s="55"/>
      <c r="AE1186" s="57"/>
      <c r="AF1186" s="57"/>
      <c r="AG1186" s="57"/>
      <c r="AH1186" s="57"/>
      <c r="AI1186" s="57"/>
      <c r="AJ1186" s="57"/>
      <c r="AK1186" s="57"/>
      <c r="AL1186" s="59"/>
      <c r="AM1186" s="57"/>
      <c r="AN1186" s="57"/>
      <c r="AO1186" s="55"/>
      <c r="AP1186" s="55"/>
      <c r="AQ1186" s="57"/>
      <c r="AR1186" s="60"/>
      <c r="AS1186" s="57"/>
      <c r="AT1186" s="57"/>
      <c r="AU1186" s="57"/>
      <c r="AV1186" s="61"/>
      <c r="AW1186" s="61"/>
      <c r="AX1186" s="193"/>
      <c r="AY1186" s="61"/>
      <c r="AZ1186" s="61"/>
      <c r="BA1186" s="193">
        <v>2</v>
      </c>
      <c r="BB1186" s="61"/>
      <c r="BC1186" s="61"/>
      <c r="BD1186" s="61"/>
      <c r="BE1186" s="61"/>
      <c r="BF1186" s="55"/>
      <c r="BG1186" s="62"/>
      <c r="BH1186" s="63">
        <f t="shared" ref="BH1186:BH1191" si="52">SUM(F1186:BG1186)</f>
        <v>2</v>
      </c>
      <c r="BI1186" s="64">
        <v>2</v>
      </c>
      <c r="BJ1186" s="62"/>
      <c r="BK1186" s="203">
        <f t="shared" ref="BK1186:BK1215" si="53">BH1186-BI1186</f>
        <v>0</v>
      </c>
      <c r="BL1186" s="64"/>
      <c r="BM1186" s="65"/>
      <c r="BN1186" s="65"/>
      <c r="BO1186" s="65"/>
    </row>
    <row r="1187" spans="1:67" ht="18.95" customHeight="1">
      <c r="B1187" s="51" t="s">
        <v>140</v>
      </c>
      <c r="C1187" s="52" t="s">
        <v>1176</v>
      </c>
      <c r="D1187" s="53" t="s">
        <v>140</v>
      </c>
      <c r="E1187" s="148" t="s">
        <v>1209</v>
      </c>
      <c r="F1187" s="66"/>
      <c r="G1187" s="66"/>
      <c r="H1187" s="66"/>
      <c r="I1187" s="66"/>
      <c r="J1187" s="66"/>
      <c r="K1187" s="66"/>
      <c r="L1187" s="66"/>
      <c r="M1187" s="66"/>
      <c r="N1187" s="67"/>
      <c r="O1187" s="66"/>
      <c r="P1187" s="66"/>
      <c r="Q1187" s="66"/>
      <c r="R1187" s="66"/>
      <c r="S1187" s="66"/>
      <c r="T1187" s="66"/>
      <c r="U1187" s="66"/>
      <c r="V1187" s="66"/>
      <c r="W1187" s="66"/>
      <c r="X1187" s="66"/>
      <c r="Y1187" s="66"/>
      <c r="Z1187" s="66"/>
      <c r="AA1187" s="66"/>
      <c r="AB1187" s="66"/>
      <c r="AC1187" s="66"/>
      <c r="AD1187" s="66"/>
      <c r="AE1187" s="66"/>
      <c r="AF1187" s="66"/>
      <c r="AG1187" s="66"/>
      <c r="AH1187" s="66"/>
      <c r="AI1187" s="66"/>
      <c r="AJ1187" s="66"/>
      <c r="AK1187" s="66"/>
      <c r="AL1187" s="66"/>
      <c r="AM1187" s="66"/>
      <c r="AN1187" s="66"/>
      <c r="AO1187" s="66"/>
      <c r="AP1187" s="66"/>
      <c r="AQ1187" s="66"/>
      <c r="AR1187" s="68"/>
      <c r="AS1187" s="66"/>
      <c r="AT1187" s="66"/>
      <c r="AU1187" s="66"/>
      <c r="AV1187" s="69"/>
      <c r="AW1187" s="69"/>
      <c r="AX1187" s="69"/>
      <c r="AY1187" s="69"/>
      <c r="AZ1187" s="69"/>
      <c r="BA1187" s="69">
        <v>2</v>
      </c>
      <c r="BB1187" s="69"/>
      <c r="BC1187" s="69"/>
      <c r="BD1187" s="69"/>
      <c r="BE1187" s="69"/>
      <c r="BF1187" s="55"/>
      <c r="BG1187" s="70"/>
      <c r="BH1187" s="63">
        <f t="shared" si="52"/>
        <v>2</v>
      </c>
      <c r="BI1187" s="63">
        <v>2</v>
      </c>
      <c r="BJ1187" s="70"/>
      <c r="BK1187" s="203">
        <f t="shared" si="53"/>
        <v>0</v>
      </c>
      <c r="BL1187" s="63"/>
      <c r="BM1187" s="71"/>
      <c r="BN1187" s="71"/>
      <c r="BO1187" s="72"/>
    </row>
    <row r="1188" spans="1:67" ht="18.95" customHeight="1">
      <c r="B1188" s="51" t="s">
        <v>143</v>
      </c>
      <c r="C1188" s="52" t="s">
        <v>1176</v>
      </c>
      <c r="D1188" s="53" t="s">
        <v>143</v>
      </c>
      <c r="E1188" s="148" t="s">
        <v>1210</v>
      </c>
      <c r="F1188" s="66"/>
      <c r="G1188" s="66"/>
      <c r="H1188" s="66"/>
      <c r="I1188" s="66"/>
      <c r="J1188" s="66"/>
      <c r="K1188" s="66"/>
      <c r="L1188" s="66"/>
      <c r="M1188" s="66"/>
      <c r="N1188" s="67"/>
      <c r="O1188" s="66"/>
      <c r="P1188" s="66"/>
      <c r="Q1188" s="66"/>
      <c r="R1188" s="66"/>
      <c r="S1188" s="66"/>
      <c r="T1188" s="66"/>
      <c r="U1188" s="66"/>
      <c r="V1188" s="66"/>
      <c r="W1188" s="66"/>
      <c r="X1188" s="66"/>
      <c r="Y1188" s="66"/>
      <c r="Z1188" s="66"/>
      <c r="AA1188" s="66"/>
      <c r="AB1188" s="66"/>
      <c r="AC1188" s="66"/>
      <c r="AD1188" s="66"/>
      <c r="AE1188" s="66"/>
      <c r="AF1188" s="66"/>
      <c r="AG1188" s="66"/>
      <c r="AH1188" s="66"/>
      <c r="AI1188" s="66"/>
      <c r="AJ1188" s="66"/>
      <c r="AK1188" s="66"/>
      <c r="AL1188" s="66"/>
      <c r="AM1188" s="66"/>
      <c r="AN1188" s="66"/>
      <c r="AO1188" s="66"/>
      <c r="AP1188" s="66"/>
      <c r="AQ1188" s="66"/>
      <c r="AR1188" s="68"/>
      <c r="AS1188" s="66"/>
      <c r="AT1188" s="66"/>
      <c r="AU1188" s="66"/>
      <c r="AV1188" s="69"/>
      <c r="AW1188" s="69"/>
      <c r="AX1188" s="69"/>
      <c r="AY1188" s="69"/>
      <c r="AZ1188" s="69"/>
      <c r="BA1188" s="69">
        <v>1</v>
      </c>
      <c r="BB1188" s="69"/>
      <c r="BC1188" s="69"/>
      <c r="BD1188" s="69"/>
      <c r="BE1188" s="69"/>
      <c r="BF1188" s="55"/>
      <c r="BG1188" s="70"/>
      <c r="BH1188" s="63">
        <f t="shared" si="52"/>
        <v>1</v>
      </c>
      <c r="BI1188" s="63">
        <v>1</v>
      </c>
      <c r="BJ1188" s="70"/>
      <c r="BK1188" s="203">
        <f t="shared" si="53"/>
        <v>0</v>
      </c>
      <c r="BL1188" s="63"/>
      <c r="BM1188" s="71"/>
      <c r="BN1188" s="72"/>
      <c r="BO1188" s="71"/>
    </row>
    <row r="1189" spans="1:67" ht="18.95" customHeight="1">
      <c r="A1189" s="86">
        <v>11</v>
      </c>
      <c r="B1189" s="51" t="s">
        <v>145</v>
      </c>
      <c r="C1189" s="52" t="s">
        <v>1176</v>
      </c>
      <c r="D1189" s="53" t="s">
        <v>145</v>
      </c>
      <c r="E1189" s="148" t="s">
        <v>1211</v>
      </c>
      <c r="F1189" s="66"/>
      <c r="G1189" s="66"/>
      <c r="H1189" s="66"/>
      <c r="I1189" s="66"/>
      <c r="J1189" s="66"/>
      <c r="K1189" s="66"/>
      <c r="L1189" s="66"/>
      <c r="M1189" s="66"/>
      <c r="N1189" s="67"/>
      <c r="O1189" s="66"/>
      <c r="P1189" s="66"/>
      <c r="Q1189" s="66"/>
      <c r="R1189" s="66"/>
      <c r="S1189" s="66"/>
      <c r="T1189" s="66"/>
      <c r="U1189" s="66"/>
      <c r="V1189" s="66"/>
      <c r="W1189" s="66"/>
      <c r="X1189" s="66"/>
      <c r="Y1189" s="66"/>
      <c r="Z1189" s="66"/>
      <c r="AA1189" s="66"/>
      <c r="AB1189" s="66"/>
      <c r="AC1189" s="66"/>
      <c r="AD1189" s="66"/>
      <c r="AE1189" s="66"/>
      <c r="AF1189" s="66"/>
      <c r="AG1189" s="66"/>
      <c r="AH1189" s="66"/>
      <c r="AI1189" s="66"/>
      <c r="AJ1189" s="66"/>
      <c r="AK1189" s="66"/>
      <c r="AL1189" s="66"/>
      <c r="AM1189" s="66"/>
      <c r="AN1189" s="66"/>
      <c r="AO1189" s="66"/>
      <c r="AP1189" s="66"/>
      <c r="AQ1189" s="66"/>
      <c r="AR1189" s="68"/>
      <c r="AS1189" s="66"/>
      <c r="AT1189" s="66"/>
      <c r="AU1189" s="66"/>
      <c r="AV1189" s="69"/>
      <c r="AW1189" s="69"/>
      <c r="AX1189" s="69"/>
      <c r="AY1189" s="69"/>
      <c r="AZ1189" s="69"/>
      <c r="BA1189" s="69">
        <v>1</v>
      </c>
      <c r="BB1189" s="69"/>
      <c r="BC1189" s="69"/>
      <c r="BD1189" s="69"/>
      <c r="BE1189" s="69"/>
      <c r="BF1189" s="55"/>
      <c r="BG1189" s="70"/>
      <c r="BH1189" s="63">
        <f t="shared" si="52"/>
        <v>1</v>
      </c>
      <c r="BI1189" s="63">
        <v>1</v>
      </c>
      <c r="BJ1189" s="70"/>
      <c r="BK1189" s="203">
        <f t="shared" si="53"/>
        <v>0</v>
      </c>
      <c r="BL1189" s="63"/>
      <c r="BM1189" s="71"/>
      <c r="BN1189" s="71"/>
      <c r="BO1189" s="71"/>
    </row>
    <row r="1190" spans="1:67" ht="18.95" customHeight="1">
      <c r="B1190" s="51" t="s">
        <v>147</v>
      </c>
      <c r="C1190" s="52" t="s">
        <v>1176</v>
      </c>
      <c r="D1190" s="53" t="s">
        <v>147</v>
      </c>
      <c r="E1190" s="148" t="s">
        <v>1212</v>
      </c>
      <c r="F1190" s="66"/>
      <c r="G1190" s="66"/>
      <c r="H1190" s="66"/>
      <c r="I1190" s="66"/>
      <c r="J1190" s="66"/>
      <c r="K1190" s="66"/>
      <c r="L1190" s="66"/>
      <c r="M1190" s="66"/>
      <c r="N1190" s="67"/>
      <c r="O1190" s="66"/>
      <c r="P1190" s="66"/>
      <c r="Q1190" s="66"/>
      <c r="R1190" s="66"/>
      <c r="S1190" s="66"/>
      <c r="T1190" s="66"/>
      <c r="U1190" s="66"/>
      <c r="V1190" s="66"/>
      <c r="W1190" s="66"/>
      <c r="X1190" s="66"/>
      <c r="Y1190" s="66"/>
      <c r="Z1190" s="66"/>
      <c r="AA1190" s="66"/>
      <c r="AB1190" s="66"/>
      <c r="AC1190" s="66"/>
      <c r="AD1190" s="66"/>
      <c r="AE1190" s="66"/>
      <c r="AF1190" s="66"/>
      <c r="AG1190" s="66"/>
      <c r="AH1190" s="66"/>
      <c r="AI1190" s="66"/>
      <c r="AJ1190" s="66"/>
      <c r="AK1190" s="66"/>
      <c r="AL1190" s="66"/>
      <c r="AM1190" s="66"/>
      <c r="AN1190" s="66"/>
      <c r="AO1190" s="66"/>
      <c r="AP1190" s="66"/>
      <c r="AQ1190" s="66"/>
      <c r="AR1190" s="68"/>
      <c r="AS1190" s="66"/>
      <c r="AT1190" s="66"/>
      <c r="AU1190" s="66"/>
      <c r="AV1190" s="69"/>
      <c r="AW1190" s="69"/>
      <c r="AX1190" s="69"/>
      <c r="AY1190" s="69"/>
      <c r="AZ1190" s="69"/>
      <c r="BA1190" s="69">
        <v>3</v>
      </c>
      <c r="BB1190" s="69"/>
      <c r="BC1190" s="69"/>
      <c r="BD1190" s="69"/>
      <c r="BE1190" s="69"/>
      <c r="BF1190" s="55"/>
      <c r="BG1190" s="70"/>
      <c r="BH1190" s="63">
        <f t="shared" si="52"/>
        <v>3</v>
      </c>
      <c r="BI1190" s="63">
        <v>3</v>
      </c>
      <c r="BJ1190" s="70"/>
      <c r="BK1190" s="203">
        <f t="shared" si="53"/>
        <v>0</v>
      </c>
      <c r="BL1190" s="63"/>
      <c r="BM1190" s="71"/>
      <c r="BN1190" s="71"/>
      <c r="BO1190" s="71"/>
    </row>
    <row r="1191" spans="1:67" ht="18.95" customHeight="1">
      <c r="B1191" s="51" t="s">
        <v>149</v>
      </c>
      <c r="C1191" s="52" t="s">
        <v>1176</v>
      </c>
      <c r="D1191" s="53" t="s">
        <v>149</v>
      </c>
      <c r="E1191" s="148" t="s">
        <v>1213</v>
      </c>
      <c r="F1191" s="66"/>
      <c r="G1191" s="66"/>
      <c r="H1191" s="66"/>
      <c r="I1191" s="66"/>
      <c r="J1191" s="66"/>
      <c r="K1191" s="66"/>
      <c r="L1191" s="66"/>
      <c r="M1191" s="66"/>
      <c r="N1191" s="67"/>
      <c r="O1191" s="66"/>
      <c r="P1191" s="66"/>
      <c r="Q1191" s="66"/>
      <c r="R1191" s="66"/>
      <c r="S1191" s="66"/>
      <c r="T1191" s="66"/>
      <c r="U1191" s="66"/>
      <c r="V1191" s="66"/>
      <c r="W1191" s="66"/>
      <c r="X1191" s="66"/>
      <c r="Y1191" s="66"/>
      <c r="Z1191" s="66"/>
      <c r="AA1191" s="66"/>
      <c r="AB1191" s="66"/>
      <c r="AC1191" s="66"/>
      <c r="AD1191" s="66"/>
      <c r="AE1191" s="66"/>
      <c r="AF1191" s="66"/>
      <c r="AG1191" s="66"/>
      <c r="AH1191" s="66"/>
      <c r="AI1191" s="66"/>
      <c r="AJ1191" s="66"/>
      <c r="AK1191" s="66"/>
      <c r="AL1191" s="66"/>
      <c r="AM1191" s="66"/>
      <c r="AN1191" s="66"/>
      <c r="AO1191" s="66"/>
      <c r="AP1191" s="66"/>
      <c r="AQ1191" s="66"/>
      <c r="AR1191" s="68"/>
      <c r="AS1191" s="66"/>
      <c r="AT1191" s="66"/>
      <c r="AU1191" s="66"/>
      <c r="AV1191" s="69"/>
      <c r="AW1191" s="69"/>
      <c r="AX1191" s="69"/>
      <c r="AY1191" s="69"/>
      <c r="AZ1191" s="69"/>
      <c r="BA1191" s="69">
        <v>2</v>
      </c>
      <c r="BB1191" s="69"/>
      <c r="BC1191" s="69"/>
      <c r="BD1191" s="69"/>
      <c r="BE1191" s="69"/>
      <c r="BF1191" s="55"/>
      <c r="BG1191" s="70"/>
      <c r="BH1191" s="63">
        <f t="shared" si="52"/>
        <v>2</v>
      </c>
      <c r="BI1191" s="63">
        <v>2</v>
      </c>
      <c r="BJ1191" s="70"/>
      <c r="BK1191" s="203">
        <f t="shared" si="53"/>
        <v>0</v>
      </c>
      <c r="BL1191" s="63"/>
      <c r="BM1191" s="71"/>
      <c r="BN1191" s="71"/>
      <c r="BO1191" s="71"/>
    </row>
    <row r="1192" spans="1:67" ht="18.95" customHeight="1">
      <c r="B1192" s="51" t="s">
        <v>151</v>
      </c>
      <c r="C1192" s="52" t="s">
        <v>1176</v>
      </c>
      <c r="D1192" s="53" t="s">
        <v>151</v>
      </c>
      <c r="E1192" s="115" t="s">
        <v>1214</v>
      </c>
      <c r="F1192" s="66"/>
      <c r="G1192" s="66"/>
      <c r="H1192" s="66"/>
      <c r="I1192" s="66"/>
      <c r="J1192" s="66"/>
      <c r="K1192" s="66"/>
      <c r="L1192" s="66"/>
      <c r="M1192" s="66"/>
      <c r="N1192" s="67"/>
      <c r="O1192" s="66"/>
      <c r="P1192" s="66"/>
      <c r="Q1192" s="66"/>
      <c r="R1192" s="66"/>
      <c r="S1192" s="66"/>
      <c r="T1192" s="66"/>
      <c r="U1192" s="66"/>
      <c r="V1192" s="66"/>
      <c r="W1192" s="66"/>
      <c r="X1192" s="66"/>
      <c r="Y1192" s="66"/>
      <c r="Z1192" s="66"/>
      <c r="AA1192" s="66"/>
      <c r="AB1192" s="66"/>
      <c r="AC1192" s="66"/>
      <c r="AD1192" s="66"/>
      <c r="AE1192" s="66"/>
      <c r="AF1192" s="66"/>
      <c r="AG1192" s="66"/>
      <c r="AH1192" s="66"/>
      <c r="AI1192" s="66"/>
      <c r="AJ1192" s="66"/>
      <c r="AK1192" s="66"/>
      <c r="AL1192" s="66"/>
      <c r="AM1192" s="66"/>
      <c r="AN1192" s="66"/>
      <c r="AO1192" s="66"/>
      <c r="AP1192" s="66"/>
      <c r="AQ1192" s="66"/>
      <c r="AR1192" s="68"/>
      <c r="AS1192" s="66"/>
      <c r="AT1192" s="66"/>
      <c r="AU1192" s="66"/>
      <c r="AV1192" s="69"/>
      <c r="AW1192" s="69"/>
      <c r="AX1192" s="69"/>
      <c r="AY1192" s="69"/>
      <c r="AZ1192" s="69"/>
      <c r="BA1192" s="69">
        <v>1</v>
      </c>
      <c r="BB1192" s="69"/>
      <c r="BC1192" s="69"/>
      <c r="BD1192" s="69"/>
      <c r="BE1192" s="69"/>
      <c r="BF1192" s="55"/>
      <c r="BG1192" s="70"/>
      <c r="BH1192" s="63">
        <v>1</v>
      </c>
      <c r="BI1192" s="63">
        <v>1</v>
      </c>
      <c r="BJ1192" s="70"/>
      <c r="BK1192" s="203">
        <f t="shared" si="53"/>
        <v>0</v>
      </c>
      <c r="BL1192" s="63"/>
      <c r="BM1192" s="71"/>
      <c r="BN1192" s="71"/>
      <c r="BO1192" s="71"/>
    </row>
    <row r="1193" spans="1:67" ht="18.95" customHeight="1">
      <c r="B1193" s="51" t="s">
        <v>153</v>
      </c>
      <c r="C1193" s="52" t="s">
        <v>1176</v>
      </c>
      <c r="D1193" s="53" t="s">
        <v>153</v>
      </c>
      <c r="E1193" s="204" t="s">
        <v>1215</v>
      </c>
      <c r="F1193" s="66"/>
      <c r="G1193" s="66"/>
      <c r="H1193" s="66"/>
      <c r="I1193" s="66"/>
      <c r="J1193" s="66"/>
      <c r="K1193" s="66"/>
      <c r="L1193" s="66"/>
      <c r="M1193" s="66"/>
      <c r="N1193" s="67"/>
      <c r="O1193" s="66"/>
      <c r="P1193" s="66"/>
      <c r="Q1193" s="66"/>
      <c r="R1193" s="66"/>
      <c r="S1193" s="66"/>
      <c r="T1193" s="66"/>
      <c r="U1193" s="66"/>
      <c r="V1193" s="66"/>
      <c r="W1193" s="66"/>
      <c r="X1193" s="66"/>
      <c r="Y1193" s="66"/>
      <c r="Z1193" s="66"/>
      <c r="AA1193" s="66"/>
      <c r="AB1193" s="66"/>
      <c r="AC1193" s="66"/>
      <c r="AD1193" s="66"/>
      <c r="AE1193" s="66"/>
      <c r="AF1193" s="66"/>
      <c r="AG1193" s="66"/>
      <c r="AH1193" s="66"/>
      <c r="AI1193" s="66"/>
      <c r="AJ1193" s="66"/>
      <c r="AK1193" s="66"/>
      <c r="AL1193" s="66"/>
      <c r="AM1193" s="66"/>
      <c r="AN1193" s="66"/>
      <c r="AO1193" s="66"/>
      <c r="AP1193" s="66"/>
      <c r="AQ1193" s="66"/>
      <c r="AR1193" s="68"/>
      <c r="AS1193" s="66"/>
      <c r="AT1193" s="66"/>
      <c r="AU1193" s="66"/>
      <c r="AV1193" s="69"/>
      <c r="AW1193" s="69"/>
      <c r="AX1193" s="69"/>
      <c r="AY1193" s="69"/>
      <c r="AZ1193" s="69"/>
      <c r="BA1193" s="69">
        <v>2</v>
      </c>
      <c r="BB1193" s="69"/>
      <c r="BC1193" s="69"/>
      <c r="BD1193" s="69"/>
      <c r="BE1193" s="69"/>
      <c r="BF1193" s="55"/>
      <c r="BG1193" s="70"/>
      <c r="BH1193" s="63">
        <f t="shared" ref="BH1193:BH1215" si="54">SUM(F1193:BG1193)</f>
        <v>2</v>
      </c>
      <c r="BI1193" s="63">
        <v>2</v>
      </c>
      <c r="BJ1193" s="70"/>
      <c r="BK1193" s="203">
        <f t="shared" si="53"/>
        <v>0</v>
      </c>
      <c r="BL1193" s="63"/>
      <c r="BM1193" s="71"/>
      <c r="BN1193" s="71"/>
      <c r="BO1193" s="71"/>
    </row>
    <row r="1194" spans="1:67" ht="18.75" customHeight="1">
      <c r="B1194" s="51" t="s">
        <v>155</v>
      </c>
      <c r="C1194" s="52" t="s">
        <v>1176</v>
      </c>
      <c r="D1194" s="53" t="s">
        <v>155</v>
      </c>
      <c r="E1194" s="148" t="s">
        <v>1216</v>
      </c>
      <c r="F1194" s="66"/>
      <c r="G1194" s="66"/>
      <c r="H1194" s="66"/>
      <c r="I1194" s="66"/>
      <c r="J1194" s="66"/>
      <c r="K1194" s="66"/>
      <c r="L1194" s="66"/>
      <c r="M1194" s="66"/>
      <c r="N1194" s="67"/>
      <c r="O1194" s="66"/>
      <c r="P1194" s="66"/>
      <c r="Q1194" s="66"/>
      <c r="R1194" s="66"/>
      <c r="S1194" s="66"/>
      <c r="T1194" s="66"/>
      <c r="U1194" s="66"/>
      <c r="V1194" s="66"/>
      <c r="W1194" s="66"/>
      <c r="X1194" s="66"/>
      <c r="Y1194" s="66"/>
      <c r="Z1194" s="66"/>
      <c r="AA1194" s="66"/>
      <c r="AB1194" s="66"/>
      <c r="AC1194" s="66"/>
      <c r="AD1194" s="66"/>
      <c r="AE1194" s="66"/>
      <c r="AF1194" s="66"/>
      <c r="AG1194" s="66"/>
      <c r="AH1194" s="66"/>
      <c r="AI1194" s="66"/>
      <c r="AJ1194" s="66"/>
      <c r="AK1194" s="66"/>
      <c r="AL1194" s="66"/>
      <c r="AM1194" s="66"/>
      <c r="AN1194" s="66"/>
      <c r="AO1194" s="66"/>
      <c r="AP1194" s="66"/>
      <c r="AQ1194" s="66"/>
      <c r="AR1194" s="68"/>
      <c r="AS1194" s="66"/>
      <c r="AT1194" s="66"/>
      <c r="AU1194" s="66"/>
      <c r="AV1194" s="69"/>
      <c r="AW1194" s="69"/>
      <c r="AX1194" s="69"/>
      <c r="AY1194" s="69"/>
      <c r="AZ1194" s="69"/>
      <c r="BA1194" s="69">
        <v>1</v>
      </c>
      <c r="BB1194" s="69"/>
      <c r="BC1194" s="69"/>
      <c r="BD1194" s="69"/>
      <c r="BE1194" s="69"/>
      <c r="BF1194" s="55"/>
      <c r="BG1194" s="70"/>
      <c r="BH1194" s="63">
        <f t="shared" si="54"/>
        <v>1</v>
      </c>
      <c r="BI1194" s="63">
        <v>1</v>
      </c>
      <c r="BJ1194" s="70"/>
      <c r="BK1194" s="203">
        <f t="shared" si="53"/>
        <v>0</v>
      </c>
      <c r="BL1194" s="63"/>
      <c r="BM1194" s="71"/>
      <c r="BN1194" s="71"/>
      <c r="BO1194" s="71"/>
    </row>
    <row r="1195" spans="1:67" ht="18.75" customHeight="1">
      <c r="B1195" s="51" t="s">
        <v>157</v>
      </c>
      <c r="C1195" s="52" t="s">
        <v>1176</v>
      </c>
      <c r="D1195" s="53" t="s">
        <v>157</v>
      </c>
      <c r="E1195" s="148" t="s">
        <v>1217</v>
      </c>
      <c r="F1195" s="66"/>
      <c r="G1195" s="66"/>
      <c r="H1195" s="66"/>
      <c r="I1195" s="66"/>
      <c r="J1195" s="66"/>
      <c r="K1195" s="66"/>
      <c r="L1195" s="66"/>
      <c r="M1195" s="66"/>
      <c r="N1195" s="67"/>
      <c r="O1195" s="66"/>
      <c r="P1195" s="66"/>
      <c r="Q1195" s="66"/>
      <c r="R1195" s="66"/>
      <c r="S1195" s="66"/>
      <c r="T1195" s="66"/>
      <c r="U1195" s="66"/>
      <c r="V1195" s="66"/>
      <c r="W1195" s="66"/>
      <c r="X1195" s="66"/>
      <c r="Y1195" s="66"/>
      <c r="Z1195" s="66"/>
      <c r="AA1195" s="66"/>
      <c r="AB1195" s="66"/>
      <c r="AC1195" s="66"/>
      <c r="AD1195" s="66"/>
      <c r="AE1195" s="66"/>
      <c r="AF1195" s="66"/>
      <c r="AG1195" s="66"/>
      <c r="AH1195" s="66"/>
      <c r="AI1195" s="66"/>
      <c r="AJ1195" s="66"/>
      <c r="AK1195" s="66"/>
      <c r="AL1195" s="66"/>
      <c r="AM1195" s="66"/>
      <c r="AN1195" s="66"/>
      <c r="AO1195" s="66"/>
      <c r="AP1195" s="66"/>
      <c r="AQ1195" s="66"/>
      <c r="AR1195" s="68"/>
      <c r="AS1195" s="66"/>
      <c r="AT1195" s="66"/>
      <c r="AU1195" s="66"/>
      <c r="AV1195" s="69"/>
      <c r="AW1195" s="69"/>
      <c r="AX1195" s="69"/>
      <c r="AY1195" s="69"/>
      <c r="AZ1195" s="69"/>
      <c r="BA1195" s="69">
        <v>1</v>
      </c>
      <c r="BB1195" s="69"/>
      <c r="BC1195" s="69"/>
      <c r="BD1195" s="69"/>
      <c r="BE1195" s="69"/>
      <c r="BF1195" s="55"/>
      <c r="BG1195" s="70"/>
      <c r="BH1195" s="63">
        <f t="shared" si="54"/>
        <v>1</v>
      </c>
      <c r="BI1195" s="63">
        <v>1</v>
      </c>
      <c r="BJ1195" s="70"/>
      <c r="BK1195" s="203">
        <f t="shared" si="53"/>
        <v>0</v>
      </c>
      <c r="BL1195" s="63"/>
      <c r="BM1195" s="71"/>
      <c r="BN1195" s="71"/>
      <c r="BO1195" s="71"/>
    </row>
    <row r="1196" spans="1:67" ht="18.75" customHeight="1">
      <c r="B1196" s="51" t="s">
        <v>159</v>
      </c>
      <c r="C1196" s="52" t="s">
        <v>1176</v>
      </c>
      <c r="D1196" s="53" t="s">
        <v>159</v>
      </c>
      <c r="E1196" s="204" t="s">
        <v>1218</v>
      </c>
      <c r="F1196" s="66"/>
      <c r="G1196" s="66"/>
      <c r="H1196" s="66"/>
      <c r="I1196" s="66"/>
      <c r="J1196" s="66"/>
      <c r="K1196" s="66"/>
      <c r="L1196" s="66"/>
      <c r="M1196" s="66"/>
      <c r="N1196" s="67"/>
      <c r="O1196" s="66"/>
      <c r="P1196" s="66"/>
      <c r="Q1196" s="66"/>
      <c r="R1196" s="66"/>
      <c r="S1196" s="66"/>
      <c r="T1196" s="66"/>
      <c r="U1196" s="66"/>
      <c r="V1196" s="66"/>
      <c r="W1196" s="66"/>
      <c r="X1196" s="66"/>
      <c r="Y1196" s="66"/>
      <c r="Z1196" s="66"/>
      <c r="AA1196" s="66"/>
      <c r="AB1196" s="66"/>
      <c r="AC1196" s="66"/>
      <c r="AD1196" s="66"/>
      <c r="AE1196" s="66"/>
      <c r="AF1196" s="66"/>
      <c r="AG1196" s="66"/>
      <c r="AH1196" s="66"/>
      <c r="AI1196" s="66"/>
      <c r="AJ1196" s="66"/>
      <c r="AK1196" s="66"/>
      <c r="AL1196" s="66"/>
      <c r="AM1196" s="66"/>
      <c r="AN1196" s="66"/>
      <c r="AO1196" s="66"/>
      <c r="AP1196" s="66"/>
      <c r="AQ1196" s="66"/>
      <c r="AR1196" s="68"/>
      <c r="AS1196" s="66"/>
      <c r="AT1196" s="66"/>
      <c r="AU1196" s="66"/>
      <c r="AV1196" s="69"/>
      <c r="AW1196" s="69"/>
      <c r="AX1196" s="69"/>
      <c r="AY1196" s="69"/>
      <c r="AZ1196" s="69"/>
      <c r="BA1196" s="69">
        <v>1</v>
      </c>
      <c r="BB1196" s="69"/>
      <c r="BC1196" s="69"/>
      <c r="BD1196" s="69"/>
      <c r="BE1196" s="69"/>
      <c r="BF1196" s="55"/>
      <c r="BG1196" s="70"/>
      <c r="BH1196" s="63">
        <f t="shared" si="54"/>
        <v>1</v>
      </c>
      <c r="BI1196" s="63">
        <v>1</v>
      </c>
      <c r="BJ1196" s="70"/>
      <c r="BK1196" s="203">
        <f t="shared" si="53"/>
        <v>0</v>
      </c>
      <c r="BL1196" s="63"/>
      <c r="BM1196" s="71"/>
      <c r="BN1196" s="71"/>
      <c r="BO1196" s="71"/>
    </row>
    <row r="1197" spans="1:67" ht="18.95" customHeight="1">
      <c r="B1197" s="51" t="s">
        <v>161</v>
      </c>
      <c r="C1197" s="52" t="s">
        <v>1176</v>
      </c>
      <c r="D1197" s="53" t="s">
        <v>161</v>
      </c>
      <c r="E1197" s="148" t="s">
        <v>1219</v>
      </c>
      <c r="F1197" s="66"/>
      <c r="G1197" s="66"/>
      <c r="H1197" s="66"/>
      <c r="I1197" s="66"/>
      <c r="J1197" s="66"/>
      <c r="K1197" s="66"/>
      <c r="L1197" s="66"/>
      <c r="M1197" s="66"/>
      <c r="N1197" s="67"/>
      <c r="O1197" s="66"/>
      <c r="P1197" s="66"/>
      <c r="Q1197" s="66"/>
      <c r="R1197" s="66"/>
      <c r="S1197" s="66"/>
      <c r="T1197" s="66"/>
      <c r="U1197" s="66"/>
      <c r="V1197" s="66"/>
      <c r="W1197" s="66"/>
      <c r="X1197" s="66"/>
      <c r="Y1197" s="66"/>
      <c r="Z1197" s="66"/>
      <c r="AA1197" s="66"/>
      <c r="AB1197" s="66"/>
      <c r="AC1197" s="66"/>
      <c r="AD1197" s="66"/>
      <c r="AE1197" s="66"/>
      <c r="AF1197" s="66"/>
      <c r="AG1197" s="66"/>
      <c r="AH1197" s="66"/>
      <c r="AI1197" s="66"/>
      <c r="AJ1197" s="66"/>
      <c r="AK1197" s="66"/>
      <c r="AL1197" s="66"/>
      <c r="AM1197" s="66"/>
      <c r="AN1197" s="66"/>
      <c r="AO1197" s="66"/>
      <c r="AP1197" s="66"/>
      <c r="AQ1197" s="66"/>
      <c r="AR1197" s="68"/>
      <c r="AS1197" s="66"/>
      <c r="AT1197" s="66"/>
      <c r="AU1197" s="66"/>
      <c r="AV1197" s="69"/>
      <c r="AW1197" s="69"/>
      <c r="AX1197" s="69"/>
      <c r="AY1197" s="69"/>
      <c r="AZ1197" s="69"/>
      <c r="BA1197" s="69">
        <v>1</v>
      </c>
      <c r="BB1197" s="69"/>
      <c r="BC1197" s="69"/>
      <c r="BD1197" s="69"/>
      <c r="BE1197" s="69"/>
      <c r="BF1197" s="55"/>
      <c r="BG1197" s="70"/>
      <c r="BH1197" s="63">
        <f t="shared" si="54"/>
        <v>1</v>
      </c>
      <c r="BI1197" s="63">
        <v>1</v>
      </c>
      <c r="BJ1197" s="70"/>
      <c r="BK1197" s="203">
        <f t="shared" si="53"/>
        <v>0</v>
      </c>
      <c r="BL1197" s="63"/>
      <c r="BM1197" s="71"/>
      <c r="BN1197" s="71"/>
      <c r="BO1197" s="71"/>
    </row>
    <row r="1198" spans="1:67" ht="18.95" customHeight="1">
      <c r="B1198" s="51" t="s">
        <v>163</v>
      </c>
      <c r="C1198" s="52" t="s">
        <v>1176</v>
      </c>
      <c r="D1198" s="53" t="s">
        <v>163</v>
      </c>
      <c r="E1198" s="148" t="s">
        <v>1220</v>
      </c>
      <c r="F1198" s="66"/>
      <c r="G1198" s="66"/>
      <c r="H1198" s="66"/>
      <c r="I1198" s="66"/>
      <c r="J1198" s="66"/>
      <c r="K1198" s="66"/>
      <c r="L1198" s="66"/>
      <c r="M1198" s="66"/>
      <c r="N1198" s="67"/>
      <c r="O1198" s="66"/>
      <c r="P1198" s="66"/>
      <c r="Q1198" s="66"/>
      <c r="R1198" s="66"/>
      <c r="S1198" s="66"/>
      <c r="T1198" s="66"/>
      <c r="U1198" s="66"/>
      <c r="V1198" s="66"/>
      <c r="W1198" s="66"/>
      <c r="X1198" s="66"/>
      <c r="Y1198" s="66"/>
      <c r="Z1198" s="66"/>
      <c r="AA1198" s="66"/>
      <c r="AB1198" s="66"/>
      <c r="AC1198" s="66"/>
      <c r="AD1198" s="66"/>
      <c r="AE1198" s="66"/>
      <c r="AF1198" s="66"/>
      <c r="AG1198" s="66"/>
      <c r="AH1198" s="66"/>
      <c r="AI1198" s="66"/>
      <c r="AJ1198" s="66"/>
      <c r="AK1198" s="66"/>
      <c r="AL1198" s="66"/>
      <c r="AM1198" s="66"/>
      <c r="AN1198" s="66"/>
      <c r="AO1198" s="66"/>
      <c r="AP1198" s="66"/>
      <c r="AQ1198" s="66"/>
      <c r="AR1198" s="68"/>
      <c r="AS1198" s="66"/>
      <c r="AT1198" s="66"/>
      <c r="AU1198" s="66"/>
      <c r="AV1198" s="69"/>
      <c r="AW1198" s="69"/>
      <c r="AX1198" s="69"/>
      <c r="AY1198" s="69"/>
      <c r="AZ1198" s="69"/>
      <c r="BA1198" s="69">
        <v>1</v>
      </c>
      <c r="BB1198" s="69"/>
      <c r="BC1198" s="69"/>
      <c r="BD1198" s="69"/>
      <c r="BE1198" s="69"/>
      <c r="BF1198" s="55"/>
      <c r="BG1198" s="70"/>
      <c r="BH1198" s="63">
        <f t="shared" si="54"/>
        <v>1</v>
      </c>
      <c r="BI1198" s="63">
        <v>1</v>
      </c>
      <c r="BJ1198" s="70"/>
      <c r="BK1198" s="203">
        <f t="shared" si="53"/>
        <v>0</v>
      </c>
      <c r="BL1198" s="63"/>
      <c r="BM1198" s="71"/>
      <c r="BN1198" s="71"/>
      <c r="BO1198" s="71"/>
    </row>
    <row r="1199" spans="1:67" ht="18.75" customHeight="1">
      <c r="B1199" s="51" t="s">
        <v>165</v>
      </c>
      <c r="C1199" s="52" t="s">
        <v>1176</v>
      </c>
      <c r="D1199" s="53" t="s">
        <v>165</v>
      </c>
      <c r="E1199" s="148" t="s">
        <v>1221</v>
      </c>
      <c r="F1199" s="66"/>
      <c r="G1199" s="66"/>
      <c r="H1199" s="66"/>
      <c r="I1199" s="66"/>
      <c r="J1199" s="66"/>
      <c r="K1199" s="66"/>
      <c r="L1199" s="66"/>
      <c r="M1199" s="66"/>
      <c r="N1199" s="67"/>
      <c r="O1199" s="66"/>
      <c r="P1199" s="66"/>
      <c r="Q1199" s="66"/>
      <c r="R1199" s="66"/>
      <c r="S1199" s="66"/>
      <c r="T1199" s="66"/>
      <c r="U1199" s="66"/>
      <c r="V1199" s="66"/>
      <c r="W1199" s="66"/>
      <c r="X1199" s="66"/>
      <c r="Y1199" s="66"/>
      <c r="Z1199" s="66"/>
      <c r="AA1199" s="66"/>
      <c r="AB1199" s="66"/>
      <c r="AC1199" s="66"/>
      <c r="AD1199" s="66"/>
      <c r="AE1199" s="66"/>
      <c r="AF1199" s="66"/>
      <c r="AG1199" s="66"/>
      <c r="AH1199" s="66"/>
      <c r="AI1199" s="66"/>
      <c r="AJ1199" s="66"/>
      <c r="AK1199" s="66"/>
      <c r="AL1199" s="66"/>
      <c r="AM1199" s="66"/>
      <c r="AN1199" s="66"/>
      <c r="AO1199" s="66"/>
      <c r="AP1199" s="66"/>
      <c r="AQ1199" s="66"/>
      <c r="AR1199" s="68"/>
      <c r="AS1199" s="66"/>
      <c r="AT1199" s="66"/>
      <c r="AU1199" s="66"/>
      <c r="AV1199" s="69"/>
      <c r="AW1199" s="69"/>
      <c r="AX1199" s="69"/>
      <c r="AY1199" s="69"/>
      <c r="AZ1199" s="69"/>
      <c r="BA1199" s="69">
        <v>1</v>
      </c>
      <c r="BB1199" s="69"/>
      <c r="BC1199" s="69"/>
      <c r="BD1199" s="69"/>
      <c r="BE1199" s="69"/>
      <c r="BF1199" s="55"/>
      <c r="BG1199" s="70"/>
      <c r="BH1199" s="63">
        <f t="shared" si="54"/>
        <v>1</v>
      </c>
      <c r="BI1199" s="63">
        <v>1</v>
      </c>
      <c r="BJ1199" s="70"/>
      <c r="BK1199" s="203">
        <f t="shared" si="53"/>
        <v>0</v>
      </c>
      <c r="BL1199" s="63"/>
      <c r="BM1199" s="71"/>
      <c r="BN1199" s="71"/>
      <c r="BO1199" s="71"/>
    </row>
    <row r="1200" spans="1:67" ht="18.95" customHeight="1">
      <c r="B1200" s="51" t="s">
        <v>167</v>
      </c>
      <c r="C1200" s="52" t="s">
        <v>1176</v>
      </c>
      <c r="D1200" s="53" t="s">
        <v>167</v>
      </c>
      <c r="E1200" s="148" t="s">
        <v>1222</v>
      </c>
      <c r="F1200" s="66"/>
      <c r="G1200" s="66"/>
      <c r="H1200" s="66"/>
      <c r="I1200" s="66"/>
      <c r="J1200" s="66"/>
      <c r="K1200" s="66"/>
      <c r="L1200" s="66"/>
      <c r="M1200" s="66"/>
      <c r="N1200" s="67"/>
      <c r="O1200" s="66"/>
      <c r="P1200" s="66"/>
      <c r="Q1200" s="66"/>
      <c r="R1200" s="66"/>
      <c r="S1200" s="66"/>
      <c r="T1200" s="66"/>
      <c r="U1200" s="66"/>
      <c r="V1200" s="66"/>
      <c r="W1200" s="66"/>
      <c r="X1200" s="66"/>
      <c r="Y1200" s="66"/>
      <c r="Z1200" s="66"/>
      <c r="AA1200" s="66"/>
      <c r="AB1200" s="66"/>
      <c r="AC1200" s="66"/>
      <c r="AD1200" s="66"/>
      <c r="AE1200" s="66"/>
      <c r="AF1200" s="66"/>
      <c r="AG1200" s="66"/>
      <c r="AH1200" s="66"/>
      <c r="AI1200" s="66"/>
      <c r="AJ1200" s="66"/>
      <c r="AK1200" s="66"/>
      <c r="AL1200" s="66"/>
      <c r="AM1200" s="66"/>
      <c r="AN1200" s="66"/>
      <c r="AO1200" s="66"/>
      <c r="AP1200" s="66"/>
      <c r="AQ1200" s="66"/>
      <c r="AR1200" s="68"/>
      <c r="AS1200" s="66"/>
      <c r="AT1200" s="66"/>
      <c r="AU1200" s="66"/>
      <c r="AV1200" s="69"/>
      <c r="AW1200" s="69"/>
      <c r="AX1200" s="69"/>
      <c r="AY1200" s="69"/>
      <c r="AZ1200" s="69"/>
      <c r="BA1200" s="69">
        <v>1</v>
      </c>
      <c r="BB1200" s="69"/>
      <c r="BC1200" s="69"/>
      <c r="BD1200" s="69"/>
      <c r="BE1200" s="69"/>
      <c r="BF1200" s="55"/>
      <c r="BG1200" s="70"/>
      <c r="BH1200" s="63">
        <f t="shared" si="54"/>
        <v>1</v>
      </c>
      <c r="BI1200" s="63">
        <v>1</v>
      </c>
      <c r="BJ1200" s="70"/>
      <c r="BK1200" s="203">
        <f t="shared" si="53"/>
        <v>0</v>
      </c>
      <c r="BL1200" s="63"/>
      <c r="BM1200" s="71"/>
      <c r="BN1200" s="71"/>
      <c r="BO1200" s="71"/>
    </row>
    <row r="1201" spans="2:67" ht="18.95" customHeight="1">
      <c r="B1201" s="51" t="s">
        <v>169</v>
      </c>
      <c r="C1201" s="52" t="s">
        <v>1176</v>
      </c>
      <c r="D1201" s="53" t="s">
        <v>169</v>
      </c>
      <c r="E1201" s="204" t="s">
        <v>1223</v>
      </c>
      <c r="F1201" s="66"/>
      <c r="G1201" s="66"/>
      <c r="H1201" s="66"/>
      <c r="I1201" s="66"/>
      <c r="J1201" s="66"/>
      <c r="K1201" s="66"/>
      <c r="L1201" s="66"/>
      <c r="M1201" s="66"/>
      <c r="N1201" s="67"/>
      <c r="O1201" s="66"/>
      <c r="P1201" s="66"/>
      <c r="Q1201" s="66"/>
      <c r="R1201" s="66"/>
      <c r="S1201" s="66"/>
      <c r="T1201" s="66"/>
      <c r="U1201" s="66"/>
      <c r="V1201" s="66"/>
      <c r="W1201" s="66"/>
      <c r="X1201" s="66"/>
      <c r="Y1201" s="66"/>
      <c r="Z1201" s="66"/>
      <c r="AA1201" s="66"/>
      <c r="AB1201" s="66"/>
      <c r="AC1201" s="66"/>
      <c r="AD1201" s="66"/>
      <c r="AE1201" s="66"/>
      <c r="AF1201" s="66"/>
      <c r="AG1201" s="66"/>
      <c r="AH1201" s="66"/>
      <c r="AI1201" s="66"/>
      <c r="AJ1201" s="66"/>
      <c r="AK1201" s="66"/>
      <c r="AL1201" s="66"/>
      <c r="AM1201" s="66"/>
      <c r="AN1201" s="66"/>
      <c r="AO1201" s="66"/>
      <c r="AP1201" s="66"/>
      <c r="AQ1201" s="66"/>
      <c r="AR1201" s="68"/>
      <c r="AS1201" s="66"/>
      <c r="AT1201" s="66"/>
      <c r="AU1201" s="66"/>
      <c r="AV1201" s="69"/>
      <c r="AW1201" s="69"/>
      <c r="AX1201" s="69"/>
      <c r="AY1201" s="69"/>
      <c r="AZ1201" s="69"/>
      <c r="BA1201" s="69">
        <v>1</v>
      </c>
      <c r="BB1201" s="69"/>
      <c r="BC1201" s="69"/>
      <c r="BD1201" s="69"/>
      <c r="BE1201" s="69"/>
      <c r="BF1201" s="55"/>
      <c r="BG1201" s="70"/>
      <c r="BH1201" s="63">
        <f t="shared" si="54"/>
        <v>1</v>
      </c>
      <c r="BI1201" s="63">
        <v>1</v>
      </c>
      <c r="BJ1201" s="70"/>
      <c r="BK1201" s="203">
        <f t="shared" si="53"/>
        <v>0</v>
      </c>
      <c r="BL1201" s="63"/>
      <c r="BM1201" s="71"/>
      <c r="BN1201" s="71"/>
      <c r="BO1201" s="71"/>
    </row>
    <row r="1202" spans="2:67" ht="18.95" customHeight="1">
      <c r="B1202" s="51" t="s">
        <v>171</v>
      </c>
      <c r="C1202" s="52" t="s">
        <v>1176</v>
      </c>
      <c r="D1202" s="53" t="s">
        <v>171</v>
      </c>
      <c r="E1202" s="148" t="s">
        <v>1224</v>
      </c>
      <c r="F1202" s="66"/>
      <c r="G1202" s="66"/>
      <c r="H1202" s="66"/>
      <c r="I1202" s="66"/>
      <c r="J1202" s="66"/>
      <c r="K1202" s="66"/>
      <c r="L1202" s="66"/>
      <c r="M1202" s="66"/>
      <c r="N1202" s="67"/>
      <c r="O1202" s="66"/>
      <c r="P1202" s="66"/>
      <c r="Q1202" s="66"/>
      <c r="R1202" s="66"/>
      <c r="S1202" s="66"/>
      <c r="T1202" s="66"/>
      <c r="U1202" s="66"/>
      <c r="V1202" s="66"/>
      <c r="W1202" s="66"/>
      <c r="X1202" s="66"/>
      <c r="Y1202" s="66"/>
      <c r="Z1202" s="66"/>
      <c r="AA1202" s="66"/>
      <c r="AB1202" s="66"/>
      <c r="AC1202" s="66"/>
      <c r="AD1202" s="66"/>
      <c r="AE1202" s="66"/>
      <c r="AF1202" s="66"/>
      <c r="AG1202" s="66"/>
      <c r="AH1202" s="66"/>
      <c r="AI1202" s="66"/>
      <c r="AJ1202" s="66"/>
      <c r="AK1202" s="66"/>
      <c r="AL1202" s="66"/>
      <c r="AM1202" s="66"/>
      <c r="AN1202" s="66"/>
      <c r="AO1202" s="66"/>
      <c r="AP1202" s="66"/>
      <c r="AQ1202" s="66"/>
      <c r="AR1202" s="68"/>
      <c r="AS1202" s="66"/>
      <c r="AT1202" s="66"/>
      <c r="AU1202" s="66"/>
      <c r="AV1202" s="69"/>
      <c r="AW1202" s="69"/>
      <c r="AX1202" s="69"/>
      <c r="AY1202" s="69"/>
      <c r="AZ1202" s="69"/>
      <c r="BA1202" s="69">
        <v>1</v>
      </c>
      <c r="BB1202" s="69"/>
      <c r="BC1202" s="69"/>
      <c r="BD1202" s="69"/>
      <c r="BE1202" s="69"/>
      <c r="BF1202" s="55"/>
      <c r="BG1202" s="70"/>
      <c r="BH1202" s="63">
        <f t="shared" si="54"/>
        <v>1</v>
      </c>
      <c r="BI1202" s="63">
        <v>1</v>
      </c>
      <c r="BJ1202" s="70"/>
      <c r="BK1202" s="203">
        <f t="shared" si="53"/>
        <v>0</v>
      </c>
      <c r="BL1202" s="63"/>
      <c r="BM1202" s="71"/>
      <c r="BN1202" s="71"/>
      <c r="BO1202" s="71"/>
    </row>
    <row r="1203" spans="2:67" ht="18.75" customHeight="1">
      <c r="B1203" s="51" t="s">
        <v>174</v>
      </c>
      <c r="C1203" s="52" t="s">
        <v>1176</v>
      </c>
      <c r="D1203" s="53" t="s">
        <v>174</v>
      </c>
      <c r="E1203" s="115" t="s">
        <v>1225</v>
      </c>
      <c r="F1203" s="66"/>
      <c r="G1203" s="66"/>
      <c r="H1203" s="66"/>
      <c r="I1203" s="66"/>
      <c r="J1203" s="66"/>
      <c r="K1203" s="66">
        <v>3</v>
      </c>
      <c r="L1203" s="66"/>
      <c r="M1203" s="66"/>
      <c r="N1203" s="67"/>
      <c r="O1203" s="66"/>
      <c r="P1203" s="66"/>
      <c r="Q1203" s="66"/>
      <c r="R1203" s="66"/>
      <c r="S1203" s="66"/>
      <c r="T1203" s="66"/>
      <c r="U1203" s="66"/>
      <c r="V1203" s="66"/>
      <c r="W1203" s="66"/>
      <c r="X1203" s="66"/>
      <c r="Y1203" s="66"/>
      <c r="Z1203" s="66"/>
      <c r="AA1203" s="66"/>
      <c r="AB1203" s="66"/>
      <c r="AC1203" s="66"/>
      <c r="AD1203" s="66"/>
      <c r="AE1203" s="66"/>
      <c r="AF1203" s="66"/>
      <c r="AG1203" s="66"/>
      <c r="AH1203" s="66"/>
      <c r="AI1203" s="66"/>
      <c r="AJ1203" s="66"/>
      <c r="AK1203" s="66"/>
      <c r="AL1203" s="66"/>
      <c r="AM1203" s="66"/>
      <c r="AN1203" s="66"/>
      <c r="AO1203" s="66"/>
      <c r="AP1203" s="66"/>
      <c r="AQ1203" s="66"/>
      <c r="AR1203" s="68"/>
      <c r="AS1203" s="66"/>
      <c r="AT1203" s="66"/>
      <c r="AU1203" s="66"/>
      <c r="AV1203" s="69"/>
      <c r="AW1203" s="69"/>
      <c r="AX1203" s="69"/>
      <c r="AY1203" s="69"/>
      <c r="AZ1203" s="69"/>
      <c r="BA1203" s="69"/>
      <c r="BB1203" s="69"/>
      <c r="BC1203" s="69"/>
      <c r="BD1203" s="69"/>
      <c r="BE1203" s="69"/>
      <c r="BF1203" s="55"/>
      <c r="BG1203" s="70"/>
      <c r="BH1203" s="63">
        <f t="shared" si="54"/>
        <v>3</v>
      </c>
      <c r="BI1203" s="63">
        <v>3</v>
      </c>
      <c r="BJ1203" s="70"/>
      <c r="BK1203" s="203">
        <f t="shared" si="53"/>
        <v>0</v>
      </c>
      <c r="BL1203" s="63"/>
      <c r="BM1203" s="71"/>
      <c r="BN1203" s="71"/>
      <c r="BO1203" s="71"/>
    </row>
    <row r="1204" spans="2:67" ht="18.95" customHeight="1">
      <c r="B1204" s="51" t="s">
        <v>176</v>
      </c>
      <c r="C1204" s="52" t="s">
        <v>1176</v>
      </c>
      <c r="D1204" s="53" t="s">
        <v>176</v>
      </c>
      <c r="E1204" s="199" t="s">
        <v>1226</v>
      </c>
      <c r="F1204" s="66"/>
      <c r="G1204" s="66"/>
      <c r="H1204" s="66"/>
      <c r="I1204" s="66"/>
      <c r="J1204" s="66"/>
      <c r="K1204" s="66"/>
      <c r="L1204" s="66"/>
      <c r="M1204" s="66"/>
      <c r="N1204" s="67"/>
      <c r="O1204" s="66"/>
      <c r="P1204" s="66"/>
      <c r="Q1204" s="66"/>
      <c r="R1204" s="66"/>
      <c r="S1204" s="66"/>
      <c r="T1204" s="66"/>
      <c r="U1204" s="66"/>
      <c r="V1204" s="66"/>
      <c r="W1204" s="66"/>
      <c r="X1204" s="66"/>
      <c r="Y1204" s="66"/>
      <c r="Z1204" s="66"/>
      <c r="AA1204" s="66"/>
      <c r="AB1204" s="66"/>
      <c r="AC1204" s="66"/>
      <c r="AD1204" s="66"/>
      <c r="AE1204" s="66"/>
      <c r="AF1204" s="66"/>
      <c r="AG1204" s="66"/>
      <c r="AH1204" s="66"/>
      <c r="AI1204" s="66"/>
      <c r="AJ1204" s="66"/>
      <c r="AK1204" s="66"/>
      <c r="AL1204" s="66"/>
      <c r="AM1204" s="66"/>
      <c r="AN1204" s="66"/>
      <c r="AO1204" s="66"/>
      <c r="AP1204" s="66"/>
      <c r="AQ1204" s="66"/>
      <c r="AR1204" s="68"/>
      <c r="AS1204" s="66"/>
      <c r="AT1204" s="66"/>
      <c r="AU1204" s="66"/>
      <c r="AV1204" s="69"/>
      <c r="AW1204" s="69"/>
      <c r="AX1204" s="69"/>
      <c r="AY1204" s="69"/>
      <c r="AZ1204" s="69"/>
      <c r="BA1204" s="69">
        <v>1</v>
      </c>
      <c r="BB1204" s="69"/>
      <c r="BC1204" s="69"/>
      <c r="BD1204" s="69"/>
      <c r="BE1204" s="69"/>
      <c r="BF1204" s="55"/>
      <c r="BG1204" s="70"/>
      <c r="BH1204" s="63">
        <f t="shared" si="54"/>
        <v>1</v>
      </c>
      <c r="BI1204" s="63">
        <v>1</v>
      </c>
      <c r="BJ1204" s="70"/>
      <c r="BK1204" s="203">
        <f t="shared" si="53"/>
        <v>0</v>
      </c>
      <c r="BL1204" s="63"/>
      <c r="BM1204" s="71"/>
      <c r="BN1204" s="71"/>
      <c r="BO1204" s="71"/>
    </row>
    <row r="1205" spans="2:67" ht="18.95" customHeight="1">
      <c r="B1205" s="51" t="s">
        <v>178</v>
      </c>
      <c r="C1205" s="52" t="s">
        <v>1176</v>
      </c>
      <c r="D1205" s="53" t="s">
        <v>178</v>
      </c>
      <c r="E1205" s="214"/>
      <c r="F1205" s="66"/>
      <c r="G1205" s="66"/>
      <c r="H1205" s="66"/>
      <c r="I1205" s="66"/>
      <c r="J1205" s="66"/>
      <c r="K1205" s="66"/>
      <c r="L1205" s="66"/>
      <c r="M1205" s="66"/>
      <c r="N1205" s="67"/>
      <c r="O1205" s="66"/>
      <c r="P1205" s="66"/>
      <c r="Q1205" s="66"/>
      <c r="R1205" s="66"/>
      <c r="S1205" s="66"/>
      <c r="T1205" s="66"/>
      <c r="U1205" s="66"/>
      <c r="V1205" s="66"/>
      <c r="W1205" s="66"/>
      <c r="X1205" s="66"/>
      <c r="Y1205" s="66"/>
      <c r="Z1205" s="66"/>
      <c r="AA1205" s="66"/>
      <c r="AB1205" s="66"/>
      <c r="AC1205" s="66"/>
      <c r="AD1205" s="66"/>
      <c r="AE1205" s="66"/>
      <c r="AF1205" s="66"/>
      <c r="AG1205" s="66"/>
      <c r="AH1205" s="66"/>
      <c r="AI1205" s="66"/>
      <c r="AJ1205" s="66"/>
      <c r="AK1205" s="66"/>
      <c r="AL1205" s="66"/>
      <c r="AM1205" s="66"/>
      <c r="AN1205" s="66"/>
      <c r="AO1205" s="66"/>
      <c r="AP1205" s="66"/>
      <c r="AQ1205" s="66"/>
      <c r="AR1205" s="68"/>
      <c r="AS1205" s="66"/>
      <c r="AT1205" s="66"/>
      <c r="AU1205" s="66"/>
      <c r="AV1205" s="69"/>
      <c r="AW1205" s="69"/>
      <c r="AX1205" s="69"/>
      <c r="AY1205" s="69"/>
      <c r="AZ1205" s="69"/>
      <c r="BA1205" s="69"/>
      <c r="BB1205" s="69"/>
      <c r="BC1205" s="69"/>
      <c r="BD1205" s="69"/>
      <c r="BE1205" s="69"/>
      <c r="BF1205" s="55"/>
      <c r="BG1205" s="70"/>
      <c r="BH1205" s="63">
        <f t="shared" si="54"/>
        <v>0</v>
      </c>
      <c r="BI1205" s="63"/>
      <c r="BJ1205" s="70"/>
      <c r="BK1205" s="203">
        <f t="shared" si="53"/>
        <v>0</v>
      </c>
      <c r="BL1205" s="63"/>
      <c r="BM1205" s="71"/>
      <c r="BN1205" s="71"/>
      <c r="BO1205" s="71"/>
    </row>
    <row r="1206" spans="2:67" ht="18.95" customHeight="1">
      <c r="B1206" s="51" t="s">
        <v>180</v>
      </c>
      <c r="C1206" s="52" t="s">
        <v>1176</v>
      </c>
      <c r="D1206" s="53" t="s">
        <v>180</v>
      </c>
      <c r="E1206" s="214"/>
      <c r="F1206" s="66"/>
      <c r="G1206" s="66"/>
      <c r="H1206" s="66"/>
      <c r="I1206" s="66"/>
      <c r="J1206" s="66"/>
      <c r="K1206" s="66"/>
      <c r="L1206" s="66"/>
      <c r="M1206" s="66"/>
      <c r="N1206" s="67"/>
      <c r="O1206" s="66"/>
      <c r="P1206" s="66"/>
      <c r="Q1206" s="66"/>
      <c r="R1206" s="66"/>
      <c r="S1206" s="66"/>
      <c r="T1206" s="66"/>
      <c r="U1206" s="66"/>
      <c r="V1206" s="66"/>
      <c r="W1206" s="66"/>
      <c r="X1206" s="66"/>
      <c r="Y1206" s="66"/>
      <c r="Z1206" s="66"/>
      <c r="AA1206" s="66"/>
      <c r="AB1206" s="66"/>
      <c r="AC1206" s="66"/>
      <c r="AD1206" s="66"/>
      <c r="AE1206" s="66"/>
      <c r="AF1206" s="66"/>
      <c r="AG1206" s="66"/>
      <c r="AH1206" s="66"/>
      <c r="AI1206" s="66"/>
      <c r="AJ1206" s="66"/>
      <c r="AK1206" s="66"/>
      <c r="AL1206" s="66"/>
      <c r="AM1206" s="66"/>
      <c r="AN1206" s="66"/>
      <c r="AO1206" s="66"/>
      <c r="AP1206" s="66"/>
      <c r="AQ1206" s="66"/>
      <c r="AR1206" s="68"/>
      <c r="AS1206" s="66"/>
      <c r="AT1206" s="66"/>
      <c r="AU1206" s="66"/>
      <c r="AV1206" s="69"/>
      <c r="AW1206" s="69"/>
      <c r="AX1206" s="69"/>
      <c r="AY1206" s="69"/>
      <c r="AZ1206" s="69"/>
      <c r="BA1206" s="69"/>
      <c r="BB1206" s="69"/>
      <c r="BC1206" s="69"/>
      <c r="BD1206" s="69"/>
      <c r="BE1206" s="69"/>
      <c r="BF1206" s="55"/>
      <c r="BG1206" s="70"/>
      <c r="BH1206" s="63">
        <f t="shared" si="54"/>
        <v>0</v>
      </c>
      <c r="BI1206" s="63"/>
      <c r="BJ1206" s="70"/>
      <c r="BK1206" s="203">
        <f t="shared" si="53"/>
        <v>0</v>
      </c>
      <c r="BL1206" s="63"/>
      <c r="BM1206" s="71"/>
      <c r="BN1206" s="71"/>
      <c r="BO1206" s="71"/>
    </row>
    <row r="1207" spans="2:67" ht="18.95" customHeight="1">
      <c r="B1207" s="51" t="s">
        <v>183</v>
      </c>
      <c r="C1207" s="52" t="s">
        <v>1176</v>
      </c>
      <c r="D1207" s="53" t="s">
        <v>183</v>
      </c>
      <c r="E1207" s="214"/>
      <c r="F1207" s="66"/>
      <c r="G1207" s="66"/>
      <c r="H1207" s="66"/>
      <c r="I1207" s="66"/>
      <c r="J1207" s="66"/>
      <c r="K1207" s="66"/>
      <c r="L1207" s="66"/>
      <c r="M1207" s="66"/>
      <c r="N1207" s="67"/>
      <c r="O1207" s="66"/>
      <c r="P1207" s="66"/>
      <c r="Q1207" s="66"/>
      <c r="R1207" s="66"/>
      <c r="S1207" s="66"/>
      <c r="T1207" s="66"/>
      <c r="U1207" s="66"/>
      <c r="V1207" s="66"/>
      <c r="W1207" s="66"/>
      <c r="X1207" s="66"/>
      <c r="Y1207" s="66"/>
      <c r="Z1207" s="66"/>
      <c r="AA1207" s="66"/>
      <c r="AB1207" s="66"/>
      <c r="AC1207" s="66"/>
      <c r="AD1207" s="66"/>
      <c r="AE1207" s="66"/>
      <c r="AF1207" s="66"/>
      <c r="AG1207" s="66"/>
      <c r="AH1207" s="66"/>
      <c r="AI1207" s="66"/>
      <c r="AJ1207" s="66"/>
      <c r="AK1207" s="66"/>
      <c r="AL1207" s="66"/>
      <c r="AM1207" s="66"/>
      <c r="AN1207" s="66"/>
      <c r="AO1207" s="66"/>
      <c r="AP1207" s="66"/>
      <c r="AQ1207" s="66"/>
      <c r="AR1207" s="68"/>
      <c r="AS1207" s="66"/>
      <c r="AT1207" s="66"/>
      <c r="AU1207" s="66"/>
      <c r="AV1207" s="69"/>
      <c r="AW1207" s="69"/>
      <c r="AX1207" s="69"/>
      <c r="AY1207" s="69"/>
      <c r="AZ1207" s="69"/>
      <c r="BA1207" s="69"/>
      <c r="BB1207" s="69"/>
      <c r="BC1207" s="69"/>
      <c r="BD1207" s="69"/>
      <c r="BE1207" s="69"/>
      <c r="BF1207" s="55"/>
      <c r="BG1207" s="70"/>
      <c r="BH1207" s="63">
        <f t="shared" si="54"/>
        <v>0</v>
      </c>
      <c r="BI1207" s="63"/>
      <c r="BJ1207" s="70"/>
      <c r="BK1207" s="203">
        <f t="shared" si="53"/>
        <v>0</v>
      </c>
      <c r="BL1207" s="63"/>
      <c r="BM1207" s="71"/>
      <c r="BN1207" s="71"/>
      <c r="BO1207" s="71"/>
    </row>
    <row r="1208" spans="2:67" ht="18.95" customHeight="1">
      <c r="B1208" s="51" t="s">
        <v>185</v>
      </c>
      <c r="C1208" s="52" t="s">
        <v>1176</v>
      </c>
      <c r="D1208" s="53" t="s">
        <v>185</v>
      </c>
      <c r="E1208" s="197"/>
      <c r="F1208" s="66"/>
      <c r="G1208" s="66"/>
      <c r="H1208" s="66"/>
      <c r="I1208" s="66"/>
      <c r="J1208" s="66"/>
      <c r="K1208" s="66"/>
      <c r="L1208" s="66"/>
      <c r="M1208" s="66"/>
      <c r="N1208" s="67"/>
      <c r="O1208" s="66"/>
      <c r="P1208" s="66"/>
      <c r="Q1208" s="66"/>
      <c r="R1208" s="66"/>
      <c r="S1208" s="66"/>
      <c r="T1208" s="66"/>
      <c r="U1208" s="66"/>
      <c r="V1208" s="66"/>
      <c r="W1208" s="66"/>
      <c r="X1208" s="66"/>
      <c r="Y1208" s="66"/>
      <c r="Z1208" s="66"/>
      <c r="AA1208" s="66"/>
      <c r="AB1208" s="66"/>
      <c r="AC1208" s="66"/>
      <c r="AD1208" s="66"/>
      <c r="AE1208" s="66"/>
      <c r="AF1208" s="66"/>
      <c r="AG1208" s="66"/>
      <c r="AH1208" s="66"/>
      <c r="AI1208" s="66"/>
      <c r="AJ1208" s="66"/>
      <c r="AK1208" s="66"/>
      <c r="AL1208" s="66"/>
      <c r="AM1208" s="66"/>
      <c r="AN1208" s="66"/>
      <c r="AO1208" s="66"/>
      <c r="AP1208" s="66"/>
      <c r="AQ1208" s="66"/>
      <c r="AR1208" s="68"/>
      <c r="AS1208" s="66"/>
      <c r="AT1208" s="66"/>
      <c r="AU1208" s="66"/>
      <c r="AV1208" s="69"/>
      <c r="AW1208" s="69"/>
      <c r="AX1208" s="69"/>
      <c r="AY1208" s="69"/>
      <c r="AZ1208" s="69"/>
      <c r="BA1208" s="69"/>
      <c r="BB1208" s="69"/>
      <c r="BC1208" s="69"/>
      <c r="BD1208" s="69"/>
      <c r="BE1208" s="69"/>
      <c r="BF1208" s="55"/>
      <c r="BG1208" s="70"/>
      <c r="BH1208" s="63">
        <f t="shared" si="54"/>
        <v>0</v>
      </c>
      <c r="BI1208" s="63"/>
      <c r="BJ1208" s="70"/>
      <c r="BK1208" s="203">
        <f t="shared" si="53"/>
        <v>0</v>
      </c>
      <c r="BL1208" s="63"/>
      <c r="BM1208" s="71"/>
      <c r="BN1208" s="71"/>
      <c r="BO1208" s="71"/>
    </row>
    <row r="1209" spans="2:67" ht="18.95" customHeight="1">
      <c r="B1209" s="51" t="s">
        <v>187</v>
      </c>
      <c r="C1209" s="52" t="s">
        <v>1176</v>
      </c>
      <c r="D1209" s="53" t="s">
        <v>187</v>
      </c>
      <c r="E1209" s="198"/>
      <c r="F1209" s="66"/>
      <c r="G1209" s="66"/>
      <c r="H1209" s="66"/>
      <c r="I1209" s="66"/>
      <c r="J1209" s="66"/>
      <c r="K1209" s="66"/>
      <c r="L1209" s="66"/>
      <c r="M1209" s="66"/>
      <c r="N1209" s="67"/>
      <c r="O1209" s="66"/>
      <c r="P1209" s="66"/>
      <c r="Q1209" s="66"/>
      <c r="R1209" s="66"/>
      <c r="S1209" s="66"/>
      <c r="T1209" s="66"/>
      <c r="U1209" s="66"/>
      <c r="V1209" s="66"/>
      <c r="W1209" s="66"/>
      <c r="X1209" s="66"/>
      <c r="Y1209" s="66"/>
      <c r="Z1209" s="66"/>
      <c r="AA1209" s="66"/>
      <c r="AB1209" s="66"/>
      <c r="AC1209" s="66"/>
      <c r="AD1209" s="66"/>
      <c r="AE1209" s="66"/>
      <c r="AF1209" s="66"/>
      <c r="AG1209" s="66"/>
      <c r="AH1209" s="66"/>
      <c r="AI1209" s="66"/>
      <c r="AJ1209" s="66"/>
      <c r="AK1209" s="66"/>
      <c r="AL1209" s="66"/>
      <c r="AM1209" s="66"/>
      <c r="AN1209" s="66"/>
      <c r="AO1209" s="66"/>
      <c r="AP1209" s="66"/>
      <c r="AQ1209" s="66"/>
      <c r="AR1209" s="68"/>
      <c r="AS1209" s="66"/>
      <c r="AT1209" s="66"/>
      <c r="AU1209" s="66"/>
      <c r="AV1209" s="69"/>
      <c r="AW1209" s="69"/>
      <c r="AX1209" s="69"/>
      <c r="AY1209" s="69"/>
      <c r="AZ1209" s="69"/>
      <c r="BA1209" s="69"/>
      <c r="BB1209" s="69"/>
      <c r="BC1209" s="69"/>
      <c r="BD1209" s="69"/>
      <c r="BE1209" s="69"/>
      <c r="BF1209" s="55"/>
      <c r="BG1209" s="70"/>
      <c r="BH1209" s="63">
        <f t="shared" si="54"/>
        <v>0</v>
      </c>
      <c r="BI1209" s="63"/>
      <c r="BJ1209" s="70"/>
      <c r="BK1209" s="203">
        <f t="shared" si="53"/>
        <v>0</v>
      </c>
      <c r="BL1209" s="63"/>
      <c r="BM1209" s="71"/>
      <c r="BN1209" s="71"/>
      <c r="BO1209" s="71"/>
    </row>
    <row r="1210" spans="2:67" ht="18.95" customHeight="1">
      <c r="B1210" s="51" t="s">
        <v>189</v>
      </c>
      <c r="C1210" s="52" t="s">
        <v>1176</v>
      </c>
      <c r="D1210" s="53" t="s">
        <v>189</v>
      </c>
      <c r="E1210" s="198"/>
      <c r="F1210" s="66"/>
      <c r="G1210" s="66"/>
      <c r="H1210" s="66"/>
      <c r="I1210" s="66"/>
      <c r="J1210" s="66"/>
      <c r="K1210" s="66"/>
      <c r="L1210" s="66"/>
      <c r="M1210" s="66"/>
      <c r="N1210" s="67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  <c r="AA1210" s="66"/>
      <c r="AB1210" s="66"/>
      <c r="AC1210" s="66"/>
      <c r="AD1210" s="66"/>
      <c r="AE1210" s="66"/>
      <c r="AF1210" s="66"/>
      <c r="AG1210" s="66"/>
      <c r="AH1210" s="66"/>
      <c r="AI1210" s="66"/>
      <c r="AJ1210" s="66"/>
      <c r="AK1210" s="66"/>
      <c r="AL1210" s="75"/>
      <c r="AM1210" s="66"/>
      <c r="AN1210" s="66"/>
      <c r="AO1210" s="66"/>
      <c r="AP1210" s="66"/>
      <c r="AQ1210" s="66"/>
      <c r="AR1210" s="68"/>
      <c r="AS1210" s="66"/>
      <c r="AT1210" s="66"/>
      <c r="AU1210" s="66"/>
      <c r="AV1210" s="69"/>
      <c r="AW1210" s="69"/>
      <c r="AX1210" s="69"/>
      <c r="AY1210" s="69"/>
      <c r="AZ1210" s="69"/>
      <c r="BA1210" s="69"/>
      <c r="BB1210" s="69"/>
      <c r="BC1210" s="69"/>
      <c r="BD1210" s="69"/>
      <c r="BE1210" s="69"/>
      <c r="BF1210" s="55"/>
      <c r="BG1210" s="70"/>
      <c r="BH1210" s="63">
        <f t="shared" si="54"/>
        <v>0</v>
      </c>
      <c r="BI1210" s="63"/>
      <c r="BJ1210" s="70"/>
      <c r="BK1210" s="203">
        <f t="shared" si="53"/>
        <v>0</v>
      </c>
      <c r="BL1210" s="63"/>
      <c r="BM1210" s="71"/>
      <c r="BN1210" s="71"/>
      <c r="BO1210" s="71"/>
    </row>
    <row r="1211" spans="2:67" ht="18.95" customHeight="1">
      <c r="B1211" s="51" t="s">
        <v>192</v>
      </c>
      <c r="C1211" s="52" t="s">
        <v>1176</v>
      </c>
      <c r="D1211" s="53" t="s">
        <v>192</v>
      </c>
      <c r="E1211" s="194"/>
      <c r="F1211" s="66"/>
      <c r="G1211" s="66"/>
      <c r="H1211" s="66"/>
      <c r="I1211" s="66"/>
      <c r="J1211" s="66"/>
      <c r="K1211" s="66"/>
      <c r="L1211" s="66"/>
      <c r="M1211" s="66"/>
      <c r="N1211" s="67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  <c r="AA1211" s="66"/>
      <c r="AB1211" s="66"/>
      <c r="AC1211" s="66"/>
      <c r="AD1211" s="66"/>
      <c r="AE1211" s="66"/>
      <c r="AF1211" s="66"/>
      <c r="AG1211" s="66"/>
      <c r="AH1211" s="66"/>
      <c r="AI1211" s="66"/>
      <c r="AJ1211" s="66"/>
      <c r="AK1211" s="66"/>
      <c r="AL1211" s="75"/>
      <c r="AM1211" s="66"/>
      <c r="AN1211" s="66"/>
      <c r="AO1211" s="66"/>
      <c r="AP1211" s="66"/>
      <c r="AQ1211" s="66"/>
      <c r="AR1211" s="68"/>
      <c r="AS1211" s="66"/>
      <c r="AT1211" s="66"/>
      <c r="AU1211" s="66"/>
      <c r="AV1211" s="69"/>
      <c r="AW1211" s="69"/>
      <c r="AX1211" s="69"/>
      <c r="AY1211" s="69"/>
      <c r="AZ1211" s="69"/>
      <c r="BA1211" s="69"/>
      <c r="BB1211" s="69"/>
      <c r="BC1211" s="69"/>
      <c r="BD1211" s="69"/>
      <c r="BE1211" s="69"/>
      <c r="BF1211" s="55"/>
      <c r="BG1211" s="70"/>
      <c r="BH1211" s="63">
        <f t="shared" si="54"/>
        <v>0</v>
      </c>
      <c r="BI1211" s="63"/>
      <c r="BJ1211" s="70"/>
      <c r="BK1211" s="203">
        <f t="shared" si="53"/>
        <v>0</v>
      </c>
      <c r="BL1211" s="63"/>
      <c r="BM1211" s="71"/>
      <c r="BN1211" s="71"/>
      <c r="BO1211" s="71"/>
    </row>
    <row r="1212" spans="2:67" ht="18.95" customHeight="1">
      <c r="B1212" s="51" t="s">
        <v>194</v>
      </c>
      <c r="C1212" s="52" t="s">
        <v>1176</v>
      </c>
      <c r="D1212" s="53" t="s">
        <v>194</v>
      </c>
      <c r="E1212" s="214"/>
      <c r="F1212" s="66"/>
      <c r="G1212" s="66"/>
      <c r="H1212" s="66"/>
      <c r="I1212" s="66"/>
      <c r="J1212" s="66"/>
      <c r="K1212" s="66"/>
      <c r="L1212" s="66"/>
      <c r="M1212" s="66"/>
      <c r="N1212" s="67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  <c r="AA1212" s="66"/>
      <c r="AB1212" s="66"/>
      <c r="AC1212" s="66"/>
      <c r="AD1212" s="66"/>
      <c r="AE1212" s="66"/>
      <c r="AF1212" s="66"/>
      <c r="AG1212" s="66"/>
      <c r="AH1212" s="66"/>
      <c r="AI1212" s="66"/>
      <c r="AJ1212" s="66"/>
      <c r="AK1212" s="66"/>
      <c r="AL1212" s="66"/>
      <c r="AM1212" s="66"/>
      <c r="AN1212" s="66"/>
      <c r="AO1212" s="66"/>
      <c r="AP1212" s="66"/>
      <c r="AQ1212" s="66"/>
      <c r="AR1212" s="68"/>
      <c r="AS1212" s="66"/>
      <c r="AT1212" s="66"/>
      <c r="AU1212" s="66"/>
      <c r="AV1212" s="69"/>
      <c r="AW1212" s="69"/>
      <c r="AX1212" s="69"/>
      <c r="AY1212" s="69"/>
      <c r="AZ1212" s="69"/>
      <c r="BA1212" s="69"/>
      <c r="BB1212" s="69"/>
      <c r="BC1212" s="69"/>
      <c r="BD1212" s="69"/>
      <c r="BE1212" s="69"/>
      <c r="BF1212" s="55"/>
      <c r="BG1212" s="70"/>
      <c r="BH1212" s="63">
        <f t="shared" si="54"/>
        <v>0</v>
      </c>
      <c r="BI1212" s="63"/>
      <c r="BJ1212" s="70"/>
      <c r="BK1212" s="203">
        <f t="shared" si="53"/>
        <v>0</v>
      </c>
      <c r="BL1212" s="63"/>
      <c r="BM1212" s="71"/>
      <c r="BN1212" s="65"/>
      <c r="BO1212" s="65"/>
    </row>
    <row r="1213" spans="2:67" ht="18.95" customHeight="1">
      <c r="B1213" s="51" t="s">
        <v>196</v>
      </c>
      <c r="C1213" s="52" t="s">
        <v>1176</v>
      </c>
      <c r="D1213" s="53" t="s">
        <v>196</v>
      </c>
      <c r="E1213" s="194"/>
      <c r="F1213" s="55"/>
      <c r="G1213" s="66"/>
      <c r="H1213" s="66"/>
      <c r="I1213" s="66"/>
      <c r="J1213" s="66"/>
      <c r="K1213" s="66"/>
      <c r="L1213" s="66"/>
      <c r="M1213" s="66"/>
      <c r="N1213" s="67"/>
      <c r="O1213" s="66"/>
      <c r="P1213" s="66"/>
      <c r="Q1213" s="66"/>
      <c r="R1213" s="66"/>
      <c r="S1213" s="66"/>
      <c r="T1213" s="66"/>
      <c r="U1213" s="66"/>
      <c r="V1213" s="66"/>
      <c r="W1213" s="66"/>
      <c r="X1213" s="66"/>
      <c r="Y1213" s="66"/>
      <c r="Z1213" s="66"/>
      <c r="AA1213" s="66"/>
      <c r="AB1213" s="66"/>
      <c r="AC1213" s="66"/>
      <c r="AD1213" s="66"/>
      <c r="AE1213" s="66"/>
      <c r="AF1213" s="66"/>
      <c r="AG1213" s="66"/>
      <c r="AH1213" s="66"/>
      <c r="AI1213" s="66"/>
      <c r="AJ1213" s="66"/>
      <c r="AK1213" s="66"/>
      <c r="AL1213" s="75"/>
      <c r="AM1213" s="66"/>
      <c r="AN1213" s="66"/>
      <c r="AO1213" s="66"/>
      <c r="AP1213" s="66"/>
      <c r="AQ1213" s="66"/>
      <c r="AR1213" s="68"/>
      <c r="AS1213" s="66"/>
      <c r="AT1213" s="66"/>
      <c r="AU1213" s="66"/>
      <c r="AV1213" s="69"/>
      <c r="AW1213" s="69"/>
      <c r="AX1213" s="69"/>
      <c r="AY1213" s="69"/>
      <c r="AZ1213" s="69"/>
      <c r="BA1213" s="69"/>
      <c r="BB1213" s="69"/>
      <c r="BC1213" s="69"/>
      <c r="BD1213" s="69"/>
      <c r="BE1213" s="69"/>
      <c r="BF1213" s="55"/>
      <c r="BG1213" s="70"/>
      <c r="BH1213" s="63">
        <f t="shared" si="54"/>
        <v>0</v>
      </c>
      <c r="BI1213" s="63"/>
      <c r="BJ1213" s="70"/>
      <c r="BK1213" s="203">
        <f t="shared" si="53"/>
        <v>0</v>
      </c>
      <c r="BL1213" s="63"/>
      <c r="BM1213" s="71"/>
      <c r="BN1213" s="65"/>
      <c r="BO1213" s="65"/>
    </row>
    <row r="1214" spans="2:67" ht="18.95" customHeight="1">
      <c r="B1214" s="51" t="s">
        <v>198</v>
      </c>
      <c r="C1214" s="52" t="s">
        <v>1176</v>
      </c>
      <c r="D1214" s="53" t="s">
        <v>198</v>
      </c>
      <c r="E1214" s="194"/>
      <c r="F1214" s="66"/>
      <c r="G1214" s="66"/>
      <c r="H1214" s="66"/>
      <c r="I1214" s="66"/>
      <c r="J1214" s="66"/>
      <c r="K1214" s="66"/>
      <c r="L1214" s="66"/>
      <c r="M1214" s="66"/>
      <c r="N1214" s="67"/>
      <c r="O1214" s="66"/>
      <c r="P1214" s="66"/>
      <c r="Q1214" s="66"/>
      <c r="R1214" s="66"/>
      <c r="S1214" s="66"/>
      <c r="T1214" s="66"/>
      <c r="U1214" s="66"/>
      <c r="V1214" s="66"/>
      <c r="W1214" s="66"/>
      <c r="X1214" s="66"/>
      <c r="Y1214" s="66"/>
      <c r="Z1214" s="66"/>
      <c r="AA1214" s="66"/>
      <c r="AB1214" s="66"/>
      <c r="AC1214" s="66"/>
      <c r="AD1214" s="66"/>
      <c r="AE1214" s="66"/>
      <c r="AF1214" s="66"/>
      <c r="AG1214" s="66"/>
      <c r="AH1214" s="66"/>
      <c r="AI1214" s="66"/>
      <c r="AJ1214" s="66"/>
      <c r="AK1214" s="66"/>
      <c r="AL1214" s="66"/>
      <c r="AM1214" s="66"/>
      <c r="AN1214" s="66"/>
      <c r="AO1214" s="66"/>
      <c r="AP1214" s="66"/>
      <c r="AQ1214" s="66"/>
      <c r="AR1214" s="68"/>
      <c r="AS1214" s="66"/>
      <c r="AT1214" s="66"/>
      <c r="AU1214" s="66"/>
      <c r="AV1214" s="69"/>
      <c r="AW1214" s="69"/>
      <c r="AX1214" s="69"/>
      <c r="AY1214" s="69"/>
      <c r="AZ1214" s="69"/>
      <c r="BA1214" s="69"/>
      <c r="BB1214" s="69"/>
      <c r="BC1214" s="69"/>
      <c r="BD1214" s="69"/>
      <c r="BE1214" s="69"/>
      <c r="BF1214" s="55"/>
      <c r="BG1214" s="70"/>
      <c r="BH1214" s="63">
        <f t="shared" si="54"/>
        <v>0</v>
      </c>
      <c r="BI1214" s="63"/>
      <c r="BJ1214" s="70"/>
      <c r="BK1214" s="203">
        <f t="shared" si="53"/>
        <v>0</v>
      </c>
      <c r="BL1214" s="63"/>
      <c r="BM1214" s="71"/>
      <c r="BN1214" s="71"/>
      <c r="BO1214" s="71"/>
    </row>
    <row r="1215" spans="2:67" ht="18.95" customHeight="1">
      <c r="B1215" s="51" t="s">
        <v>200</v>
      </c>
      <c r="C1215" s="52" t="s">
        <v>1176</v>
      </c>
      <c r="D1215" s="53" t="s">
        <v>200</v>
      </c>
      <c r="E1215" s="194"/>
      <c r="F1215" s="55"/>
      <c r="G1215" s="55"/>
      <c r="H1215" s="55"/>
      <c r="I1215" s="55"/>
      <c r="J1215" s="55"/>
      <c r="K1215" s="55"/>
      <c r="L1215" s="55"/>
      <c r="M1215" s="55"/>
      <c r="N1215" s="56"/>
      <c r="O1215" s="55"/>
      <c r="P1215" s="55"/>
      <c r="Q1215" s="55"/>
      <c r="R1215" s="55"/>
      <c r="S1215" s="55"/>
      <c r="T1215" s="55"/>
      <c r="U1215" s="55"/>
      <c r="V1215" s="55"/>
      <c r="W1215" s="55"/>
      <c r="X1215" s="55"/>
      <c r="Y1215" s="55"/>
      <c r="Z1215" s="55"/>
      <c r="AA1215" s="55"/>
      <c r="AB1215" s="55"/>
      <c r="AC1215" s="55"/>
      <c r="AD1215" s="55"/>
      <c r="AE1215" s="55"/>
      <c r="AF1215" s="55"/>
      <c r="AG1215" s="55"/>
      <c r="AH1215" s="55"/>
      <c r="AI1215" s="55"/>
      <c r="AJ1215" s="55"/>
      <c r="AK1215" s="55"/>
      <c r="AL1215" s="55"/>
      <c r="AM1215" s="55"/>
      <c r="AN1215" s="55"/>
      <c r="AO1215" s="55"/>
      <c r="AP1215" s="55"/>
      <c r="AQ1215" s="55"/>
      <c r="AR1215" s="76"/>
      <c r="AS1215" s="55"/>
      <c r="AT1215" s="55"/>
      <c r="AU1215" s="55"/>
      <c r="AV1215" s="55"/>
      <c r="AW1215" s="55"/>
      <c r="AX1215" s="55"/>
      <c r="AY1215" s="55"/>
      <c r="AZ1215" s="55"/>
      <c r="BA1215" s="55"/>
      <c r="BB1215" s="55"/>
      <c r="BC1215" s="55"/>
      <c r="BD1215" s="55"/>
      <c r="BE1215" s="55"/>
      <c r="BF1215" s="55"/>
      <c r="BG1215" s="70"/>
      <c r="BH1215" s="63">
        <f t="shared" si="54"/>
        <v>0</v>
      </c>
      <c r="BI1215" s="63"/>
      <c r="BJ1215" s="70"/>
      <c r="BK1215" s="203">
        <f t="shared" si="53"/>
        <v>0</v>
      </c>
      <c r="BL1215" s="63"/>
      <c r="BM1215" s="71"/>
      <c r="BN1215" s="65"/>
      <c r="BO1215" s="65"/>
    </row>
    <row r="1227" spans="2:67">
      <c r="B1227" s="2" t="s">
        <v>1</v>
      </c>
      <c r="C1227" s="2"/>
      <c r="D1227" s="2"/>
      <c r="E1227" s="2"/>
      <c r="F1227" s="3"/>
      <c r="G1227" s="4"/>
      <c r="H1227" s="4"/>
      <c r="I1227" s="4"/>
      <c r="J1227" s="4"/>
      <c r="K1227" s="4"/>
      <c r="L1227" s="4"/>
      <c r="M1227" s="4"/>
      <c r="N1227" s="107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5"/>
      <c r="AE1227" s="5"/>
      <c r="AF1227" s="5"/>
      <c r="AG1227" s="5"/>
      <c r="AH1227" s="5"/>
      <c r="AI1227" s="5"/>
      <c r="AJ1227" s="5"/>
      <c r="AK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7"/>
      <c r="BI1227" s="7"/>
      <c r="BJ1227" s="5"/>
      <c r="BK1227" s="5"/>
      <c r="BM1227" s="5"/>
      <c r="BN1227" s="5"/>
      <c r="BO1227" s="5"/>
    </row>
    <row r="1228" spans="2:67" ht="18.75">
      <c r="B1228" s="2"/>
      <c r="C1228" s="2"/>
      <c r="D1228" s="2"/>
      <c r="E1228" s="2"/>
      <c r="F1228" s="139" t="s">
        <v>0</v>
      </c>
      <c r="G1228" s="139"/>
      <c r="H1228" s="139"/>
      <c r="I1228" s="139"/>
      <c r="J1228" s="139"/>
      <c r="K1228" s="139"/>
      <c r="L1228" s="139"/>
      <c r="M1228" s="139"/>
      <c r="N1228" s="139"/>
      <c r="O1228" s="139"/>
      <c r="P1228" s="139"/>
      <c r="Q1228" s="139"/>
      <c r="R1228" s="139"/>
      <c r="S1228" s="139"/>
      <c r="T1228" s="139"/>
      <c r="U1228" s="139"/>
      <c r="V1228" s="139"/>
      <c r="W1228" s="139"/>
      <c r="X1228" s="139"/>
      <c r="Y1228" s="140"/>
      <c r="Z1228" s="140"/>
      <c r="AA1228" s="140"/>
      <c r="AB1228" s="140"/>
      <c r="AC1228" s="140"/>
      <c r="AD1228" s="140"/>
      <c r="AE1228" s="141"/>
      <c r="AF1228" s="8"/>
      <c r="AG1228" s="8"/>
      <c r="AH1228" s="8"/>
      <c r="AI1228" s="8"/>
      <c r="AJ1228" s="8"/>
      <c r="AK1228" s="8"/>
      <c r="AL1228" s="142"/>
      <c r="AM1228" s="8"/>
      <c r="AN1228" s="8"/>
      <c r="AO1228" s="8"/>
      <c r="AP1228" s="8"/>
      <c r="AQ1228" s="8"/>
      <c r="AR1228" s="143"/>
      <c r="AS1228" s="8"/>
      <c r="AT1228" s="8"/>
      <c r="AU1228" s="8"/>
      <c r="AV1228" s="8"/>
      <c r="AW1228" s="8"/>
      <c r="AX1228" s="8"/>
      <c r="AY1228" s="8"/>
      <c r="AZ1228" s="8"/>
      <c r="BA1228" s="8"/>
      <c r="BB1228" s="8"/>
      <c r="BC1228" s="8"/>
      <c r="BD1228" s="8"/>
      <c r="BE1228" s="8"/>
      <c r="BF1228" s="9" t="s">
        <v>1227</v>
      </c>
      <c r="BG1228" s="10"/>
      <c r="BH1228" s="10"/>
      <c r="BI1228" s="10"/>
      <c r="BJ1228" s="10"/>
      <c r="BK1228" s="10"/>
      <c r="BL1228" s="10"/>
      <c r="BM1228" s="10"/>
      <c r="BN1228" s="10"/>
      <c r="BO1228" s="11"/>
    </row>
    <row r="1229" spans="2:67">
      <c r="B1229" s="12"/>
      <c r="C1229" s="12"/>
      <c r="D1229" s="12"/>
      <c r="E1229" s="12"/>
      <c r="F1229" s="13"/>
      <c r="G1229" s="14" t="s">
        <v>1228</v>
      </c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6"/>
      <c r="AM1229" s="15"/>
      <c r="AN1229" s="15"/>
      <c r="AO1229" s="15"/>
      <c r="AP1229" s="15"/>
      <c r="AQ1229" s="15"/>
      <c r="AR1229" s="17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8"/>
      <c r="BM1229" s="15"/>
      <c r="BN1229" s="15"/>
      <c r="BO1229" s="15"/>
    </row>
    <row r="1230" spans="2:67" ht="15">
      <c r="B1230" s="19" t="s">
        <v>4</v>
      </c>
      <c r="C1230" s="108" t="s">
        <v>5</v>
      </c>
      <c r="D1230" s="109"/>
      <c r="E1230" s="205" t="s">
        <v>6</v>
      </c>
      <c r="F1230" s="110" t="s">
        <v>135</v>
      </c>
      <c r="G1230" s="111"/>
      <c r="H1230" s="111"/>
      <c r="I1230" s="111"/>
      <c r="J1230" s="111"/>
      <c r="K1230" s="111"/>
      <c r="L1230" s="111"/>
      <c r="M1230" s="111"/>
      <c r="N1230" s="111"/>
      <c r="O1230" s="111"/>
      <c r="P1230" s="111"/>
      <c r="Q1230" s="111"/>
      <c r="R1230" s="111"/>
      <c r="S1230" s="111"/>
      <c r="T1230" s="111"/>
      <c r="U1230" s="111"/>
      <c r="V1230" s="111"/>
      <c r="W1230" s="111"/>
      <c r="X1230" s="111"/>
      <c r="Y1230" s="111"/>
      <c r="Z1230" s="111"/>
      <c r="AA1230" s="111"/>
      <c r="AB1230" s="111"/>
      <c r="AC1230" s="111"/>
      <c r="AD1230" s="111"/>
      <c r="AE1230" s="111"/>
      <c r="AF1230" s="111"/>
      <c r="AG1230" s="111"/>
      <c r="AH1230" s="111"/>
      <c r="AI1230" s="111"/>
      <c r="AJ1230" s="111"/>
      <c r="AK1230" s="111"/>
      <c r="AL1230" s="111"/>
      <c r="AM1230" s="111"/>
      <c r="AN1230" s="111"/>
      <c r="AO1230" s="111"/>
      <c r="AP1230" s="111"/>
      <c r="AQ1230" s="111"/>
      <c r="AR1230" s="111"/>
      <c r="AS1230" s="111"/>
      <c r="AT1230" s="111"/>
      <c r="AU1230" s="111"/>
      <c r="AV1230" s="111"/>
      <c r="AW1230" s="111"/>
      <c r="AX1230" s="111"/>
      <c r="AY1230" s="111"/>
      <c r="AZ1230" s="111"/>
      <c r="BA1230" s="111"/>
      <c r="BB1230" s="111"/>
      <c r="BC1230" s="111"/>
      <c r="BD1230" s="111"/>
      <c r="BE1230" s="111"/>
      <c r="BF1230" s="24" t="s">
        <v>8</v>
      </c>
      <c r="BG1230" s="25"/>
      <c r="BH1230" s="25"/>
      <c r="BI1230" s="26"/>
      <c r="BJ1230" s="31" t="s">
        <v>9</v>
      </c>
      <c r="BK1230" s="32"/>
      <c r="BL1230" s="29"/>
      <c r="BM1230" s="30"/>
      <c r="BN1230" s="31" t="s">
        <v>10</v>
      </c>
      <c r="BO1230" s="32"/>
    </row>
    <row r="1231" spans="2:67" ht="110.1" customHeight="1">
      <c r="B1231" s="33"/>
      <c r="C1231" s="34" t="s">
        <v>11</v>
      </c>
      <c r="D1231" s="35" t="s">
        <v>4</v>
      </c>
      <c r="E1231" s="35" t="s">
        <v>12</v>
      </c>
      <c r="F1231" s="36" t="s">
        <v>13</v>
      </c>
      <c r="G1231" s="36" t="s">
        <v>14</v>
      </c>
      <c r="H1231" s="36" t="s">
        <v>15</v>
      </c>
      <c r="I1231" s="36" t="s">
        <v>16</v>
      </c>
      <c r="J1231" s="36" t="s">
        <v>17</v>
      </c>
      <c r="K1231" s="36" t="s">
        <v>18</v>
      </c>
      <c r="L1231" s="36" t="s">
        <v>19</v>
      </c>
      <c r="M1231" s="36" t="s">
        <v>20</v>
      </c>
      <c r="N1231" s="37" t="s">
        <v>21</v>
      </c>
      <c r="O1231" s="36" t="s">
        <v>22</v>
      </c>
      <c r="P1231" s="36" t="s">
        <v>23</v>
      </c>
      <c r="Q1231" s="36" t="s">
        <v>24</v>
      </c>
      <c r="R1231" s="36" t="s">
        <v>25</v>
      </c>
      <c r="S1231" s="36" t="s">
        <v>26</v>
      </c>
      <c r="T1231" s="36" t="s">
        <v>27</v>
      </c>
      <c r="U1231" s="36" t="s">
        <v>28</v>
      </c>
      <c r="V1231" s="36" t="s">
        <v>29</v>
      </c>
      <c r="W1231" s="36" t="s">
        <v>30</v>
      </c>
      <c r="X1231" s="38" t="s">
        <v>31</v>
      </c>
      <c r="Y1231" s="36" t="s">
        <v>32</v>
      </c>
      <c r="Z1231" s="36" t="s">
        <v>33</v>
      </c>
      <c r="AA1231" s="36" t="s">
        <v>34</v>
      </c>
      <c r="AB1231" s="38" t="s">
        <v>35</v>
      </c>
      <c r="AC1231" s="36" t="s">
        <v>36</v>
      </c>
      <c r="AD1231" s="39" t="s">
        <v>37</v>
      </c>
      <c r="AE1231" s="36" t="s">
        <v>38</v>
      </c>
      <c r="AF1231" s="40" t="s">
        <v>39</v>
      </c>
      <c r="AG1231" s="40" t="s">
        <v>40</v>
      </c>
      <c r="AH1231" s="40" t="s">
        <v>41</v>
      </c>
      <c r="AI1231" s="40" t="s">
        <v>42</v>
      </c>
      <c r="AJ1231" s="40" t="s">
        <v>43</v>
      </c>
      <c r="AK1231" s="40" t="s">
        <v>44</v>
      </c>
      <c r="AL1231" s="41" t="s">
        <v>45</v>
      </c>
      <c r="AM1231" s="42" t="s">
        <v>46</v>
      </c>
      <c r="AN1231" s="43" t="s">
        <v>47</v>
      </c>
      <c r="AO1231" s="40" t="s">
        <v>48</v>
      </c>
      <c r="AP1231" s="40" t="s">
        <v>49</v>
      </c>
      <c r="AQ1231" s="40" t="s">
        <v>50</v>
      </c>
      <c r="AR1231" s="44" t="s">
        <v>136</v>
      </c>
      <c r="AS1231" s="36" t="s">
        <v>52</v>
      </c>
      <c r="AT1231" s="36" t="s">
        <v>53</v>
      </c>
      <c r="AU1231" s="36" t="s">
        <v>54</v>
      </c>
      <c r="AV1231" s="36" t="s">
        <v>55</v>
      </c>
      <c r="AW1231" s="36" t="s">
        <v>56</v>
      </c>
      <c r="AX1231" s="36" t="s">
        <v>203</v>
      </c>
      <c r="AY1231" s="36" t="s">
        <v>58</v>
      </c>
      <c r="AZ1231" s="38" t="s">
        <v>59</v>
      </c>
      <c r="BA1231" s="36" t="s">
        <v>60</v>
      </c>
      <c r="BB1231" s="36" t="s">
        <v>61</v>
      </c>
      <c r="BC1231" s="39" t="s">
        <v>62</v>
      </c>
      <c r="BD1231" s="36" t="s">
        <v>63</v>
      </c>
      <c r="BE1231" s="36" t="s">
        <v>64</v>
      </c>
      <c r="BF1231" s="45" t="s">
        <v>65</v>
      </c>
      <c r="BG1231" s="45" t="s">
        <v>66</v>
      </c>
      <c r="BH1231" s="45" t="s">
        <v>67</v>
      </c>
      <c r="BI1231" s="45" t="s">
        <v>68</v>
      </c>
      <c r="BJ1231" s="46" t="s">
        <v>69</v>
      </c>
      <c r="BK1231" s="46" t="s">
        <v>70</v>
      </c>
      <c r="BL1231" s="47" t="s">
        <v>71</v>
      </c>
      <c r="BM1231" s="48" t="s">
        <v>72</v>
      </c>
      <c r="BN1231" s="49" t="s">
        <v>69</v>
      </c>
      <c r="BO1231" s="50" t="s">
        <v>70</v>
      </c>
    </row>
    <row r="1232" spans="2:67" ht="18.95" customHeight="1">
      <c r="B1232" s="51" t="s">
        <v>73</v>
      </c>
      <c r="C1232" s="52" t="s">
        <v>1229</v>
      </c>
      <c r="D1232" s="53" t="s">
        <v>73</v>
      </c>
      <c r="E1232" s="215" t="s">
        <v>1230</v>
      </c>
      <c r="F1232" s="55"/>
      <c r="G1232" s="55"/>
      <c r="H1232" s="55"/>
      <c r="I1232" s="55"/>
      <c r="J1232" s="55"/>
      <c r="K1232" s="55"/>
      <c r="L1232" s="55"/>
      <c r="M1232" s="55"/>
      <c r="N1232" s="56"/>
      <c r="O1232" s="55"/>
      <c r="P1232" s="55"/>
      <c r="Q1232" s="57"/>
      <c r="R1232" s="55">
        <v>1</v>
      </c>
      <c r="S1232" s="58" t="s">
        <v>959</v>
      </c>
      <c r="T1232" s="58"/>
      <c r="U1232" s="55">
        <v>1</v>
      </c>
      <c r="V1232" s="55"/>
      <c r="W1232" s="55"/>
      <c r="X1232" s="55"/>
      <c r="Y1232" s="55"/>
      <c r="Z1232" s="55"/>
      <c r="AA1232" s="55"/>
      <c r="AB1232" s="55"/>
      <c r="AC1232" s="55"/>
      <c r="AD1232" s="55">
        <v>1</v>
      </c>
      <c r="AE1232" s="57"/>
      <c r="AF1232" s="57"/>
      <c r="AG1232" s="57"/>
      <c r="AH1232" s="57"/>
      <c r="AI1232" s="57"/>
      <c r="AJ1232" s="57"/>
      <c r="AK1232" s="57"/>
      <c r="AL1232" s="59"/>
      <c r="AM1232" s="57"/>
      <c r="AN1232" s="57"/>
      <c r="AO1232" s="55"/>
      <c r="AP1232" s="55"/>
      <c r="AQ1232" s="57"/>
      <c r="AR1232" s="60"/>
      <c r="AS1232" s="55"/>
      <c r="AT1232" s="55">
        <v>1</v>
      </c>
      <c r="AU1232" s="55"/>
      <c r="AV1232" s="193"/>
      <c r="AW1232" s="193"/>
      <c r="AX1232" s="193">
        <v>1</v>
      </c>
      <c r="AY1232" s="61"/>
      <c r="AZ1232" s="61"/>
      <c r="BA1232" s="61"/>
      <c r="BB1232" s="61"/>
      <c r="BC1232" s="61"/>
      <c r="BD1232" s="61"/>
      <c r="BE1232" s="61"/>
      <c r="BF1232" s="55"/>
      <c r="BG1232" s="62"/>
      <c r="BH1232" s="57">
        <f t="shared" ref="BH1232:BH1261" si="55">SUM(F1232:BG1232)</f>
        <v>5</v>
      </c>
      <c r="BI1232" s="216">
        <v>5</v>
      </c>
      <c r="BJ1232" s="62"/>
      <c r="BK1232" s="203">
        <f t="shared" ref="BK1232:BK1261" si="56">BH1232-BI1232</f>
        <v>0</v>
      </c>
      <c r="BL1232" s="64"/>
      <c r="BM1232" s="65"/>
      <c r="BN1232" s="65"/>
      <c r="BO1232" s="65"/>
    </row>
    <row r="1233" spans="2:67" ht="18.95" customHeight="1">
      <c r="B1233" s="51" t="s">
        <v>76</v>
      </c>
      <c r="C1233" s="52" t="s">
        <v>1229</v>
      </c>
      <c r="D1233" s="53" t="s">
        <v>76</v>
      </c>
      <c r="E1233" s="190" t="s">
        <v>1231</v>
      </c>
      <c r="F1233" s="66"/>
      <c r="G1233" s="66"/>
      <c r="H1233" s="66"/>
      <c r="I1233" s="66"/>
      <c r="J1233" s="66"/>
      <c r="K1233" s="66"/>
      <c r="L1233" s="66"/>
      <c r="M1233" s="66"/>
      <c r="N1233" s="67"/>
      <c r="O1233" s="66"/>
      <c r="P1233" s="66"/>
      <c r="Q1233" s="66"/>
      <c r="R1233" s="66"/>
      <c r="S1233" s="66"/>
      <c r="T1233" s="66"/>
      <c r="U1233" s="66"/>
      <c r="V1233" s="66"/>
      <c r="W1233" s="66"/>
      <c r="X1233" s="66"/>
      <c r="Y1233" s="66"/>
      <c r="Z1233" s="66"/>
      <c r="AA1233" s="66"/>
      <c r="AB1233" s="66"/>
      <c r="AC1233" s="66"/>
      <c r="AD1233" s="66"/>
      <c r="AE1233" s="66"/>
      <c r="AF1233" s="66"/>
      <c r="AG1233" s="66"/>
      <c r="AH1233" s="66"/>
      <c r="AI1233" s="66"/>
      <c r="AJ1233" s="66"/>
      <c r="AK1233" s="66"/>
      <c r="AL1233" s="66"/>
      <c r="AM1233" s="66"/>
      <c r="AN1233" s="66"/>
      <c r="AO1233" s="66"/>
      <c r="AP1233" s="66"/>
      <c r="AQ1233" s="66"/>
      <c r="AR1233" s="68"/>
      <c r="AS1233" s="66"/>
      <c r="AT1233" s="66"/>
      <c r="AU1233" s="66"/>
      <c r="AV1233" s="69"/>
      <c r="AW1233" s="69"/>
      <c r="AX1233" s="69"/>
      <c r="AY1233" s="69"/>
      <c r="AZ1233" s="69"/>
      <c r="BA1233" s="69"/>
      <c r="BB1233" s="69"/>
      <c r="BC1233" s="69"/>
      <c r="BD1233" s="69"/>
      <c r="BE1233" s="69"/>
      <c r="BF1233" s="55"/>
      <c r="BG1233" s="70"/>
      <c r="BH1233" s="63">
        <f t="shared" si="55"/>
        <v>0</v>
      </c>
      <c r="BI1233" s="63">
        <v>1</v>
      </c>
      <c r="BJ1233" s="70"/>
      <c r="BK1233" s="203">
        <f t="shared" si="56"/>
        <v>-1</v>
      </c>
      <c r="BL1233" s="63"/>
      <c r="BM1233" s="71"/>
      <c r="BN1233" s="71"/>
      <c r="BO1233" s="72"/>
    </row>
    <row r="1234" spans="2:67" ht="18.95" customHeight="1">
      <c r="B1234" s="51" t="s">
        <v>78</v>
      </c>
      <c r="C1234" s="52" t="s">
        <v>1229</v>
      </c>
      <c r="D1234" s="53"/>
      <c r="E1234" s="198"/>
      <c r="F1234" s="66"/>
      <c r="G1234" s="66"/>
      <c r="H1234" s="66"/>
      <c r="I1234" s="66"/>
      <c r="J1234" s="66"/>
      <c r="K1234" s="66"/>
      <c r="L1234" s="66"/>
      <c r="M1234" s="66"/>
      <c r="N1234" s="67"/>
      <c r="O1234" s="66"/>
      <c r="P1234" s="66"/>
      <c r="Q1234" s="66"/>
      <c r="R1234" s="66"/>
      <c r="S1234" s="66"/>
      <c r="T1234" s="66"/>
      <c r="U1234" s="66"/>
      <c r="V1234" s="66"/>
      <c r="W1234" s="66"/>
      <c r="X1234" s="66"/>
      <c r="Y1234" s="66"/>
      <c r="Z1234" s="66"/>
      <c r="AA1234" s="66"/>
      <c r="AB1234" s="66"/>
      <c r="AC1234" s="66"/>
      <c r="AD1234" s="66"/>
      <c r="AE1234" s="66"/>
      <c r="AF1234" s="66"/>
      <c r="AG1234" s="66"/>
      <c r="AH1234" s="66"/>
      <c r="AI1234" s="66"/>
      <c r="AJ1234" s="66"/>
      <c r="AK1234" s="66"/>
      <c r="AL1234" s="66"/>
      <c r="AM1234" s="66"/>
      <c r="AN1234" s="66"/>
      <c r="AO1234" s="66"/>
      <c r="AP1234" s="66"/>
      <c r="AQ1234" s="66"/>
      <c r="AR1234" s="68"/>
      <c r="AS1234" s="66"/>
      <c r="AT1234" s="66"/>
      <c r="AU1234" s="66"/>
      <c r="AV1234" s="69"/>
      <c r="AW1234" s="69"/>
      <c r="AX1234" s="69"/>
      <c r="AY1234" s="69"/>
      <c r="AZ1234" s="69"/>
      <c r="BA1234" s="69"/>
      <c r="BB1234" s="69"/>
      <c r="BC1234" s="69"/>
      <c r="BD1234" s="69"/>
      <c r="BE1234" s="69"/>
      <c r="BF1234" s="55"/>
      <c r="BG1234" s="70"/>
      <c r="BH1234" s="63">
        <f t="shared" si="55"/>
        <v>0</v>
      </c>
      <c r="BI1234" s="64"/>
      <c r="BJ1234" s="70"/>
      <c r="BK1234" s="203">
        <f t="shared" si="56"/>
        <v>0</v>
      </c>
      <c r="BL1234" s="63"/>
      <c r="BM1234" s="71"/>
      <c r="BN1234" s="72"/>
      <c r="BO1234" s="71"/>
    </row>
    <row r="1235" spans="2:67" ht="18.95" customHeight="1">
      <c r="B1235" s="51" t="s">
        <v>80</v>
      </c>
      <c r="C1235" s="52" t="s">
        <v>1229</v>
      </c>
      <c r="D1235" s="53"/>
      <c r="E1235" s="198"/>
      <c r="F1235" s="66"/>
      <c r="G1235" s="66"/>
      <c r="H1235" s="66"/>
      <c r="I1235" s="66"/>
      <c r="J1235" s="66"/>
      <c r="K1235" s="66"/>
      <c r="L1235" s="66"/>
      <c r="M1235" s="66"/>
      <c r="N1235" s="67"/>
      <c r="O1235" s="66"/>
      <c r="P1235" s="66"/>
      <c r="Q1235" s="66"/>
      <c r="R1235" s="66"/>
      <c r="S1235" s="66"/>
      <c r="T1235" s="66"/>
      <c r="U1235" s="66"/>
      <c r="V1235" s="66"/>
      <c r="W1235" s="66"/>
      <c r="X1235" s="66"/>
      <c r="Y1235" s="66"/>
      <c r="Z1235" s="66"/>
      <c r="AA1235" s="66"/>
      <c r="AB1235" s="66"/>
      <c r="AC1235" s="66"/>
      <c r="AD1235" s="66"/>
      <c r="AE1235" s="66"/>
      <c r="AF1235" s="66"/>
      <c r="AG1235" s="66"/>
      <c r="AH1235" s="66"/>
      <c r="AI1235" s="66"/>
      <c r="AJ1235" s="66"/>
      <c r="AK1235" s="66"/>
      <c r="AL1235" s="66"/>
      <c r="AM1235" s="66"/>
      <c r="AN1235" s="66"/>
      <c r="AO1235" s="66"/>
      <c r="AP1235" s="66"/>
      <c r="AQ1235" s="66"/>
      <c r="AR1235" s="68"/>
      <c r="AS1235" s="66"/>
      <c r="AT1235" s="66"/>
      <c r="AU1235" s="66"/>
      <c r="AV1235" s="69"/>
      <c r="AW1235" s="69"/>
      <c r="AX1235" s="69"/>
      <c r="AY1235" s="69"/>
      <c r="AZ1235" s="69"/>
      <c r="BA1235" s="69"/>
      <c r="BB1235" s="69"/>
      <c r="BC1235" s="69"/>
      <c r="BD1235" s="69"/>
      <c r="BE1235" s="69"/>
      <c r="BF1235" s="55"/>
      <c r="BG1235" s="70"/>
      <c r="BH1235" s="63">
        <f t="shared" si="55"/>
        <v>0</v>
      </c>
      <c r="BI1235" s="63"/>
      <c r="BJ1235" s="70"/>
      <c r="BK1235" s="203">
        <f t="shared" si="56"/>
        <v>0</v>
      </c>
      <c r="BL1235" s="63"/>
      <c r="BM1235" s="71"/>
      <c r="BN1235" s="71"/>
      <c r="BO1235" s="71"/>
    </row>
    <row r="1236" spans="2:67" ht="18.95" customHeight="1">
      <c r="B1236" s="51" t="s">
        <v>82</v>
      </c>
      <c r="C1236" s="52" t="s">
        <v>1229</v>
      </c>
      <c r="D1236" s="53"/>
      <c r="E1236" s="198"/>
      <c r="F1236" s="66"/>
      <c r="G1236" s="66"/>
      <c r="H1236" s="66"/>
      <c r="I1236" s="66"/>
      <c r="J1236" s="66"/>
      <c r="K1236" s="66"/>
      <c r="L1236" s="66"/>
      <c r="M1236" s="66"/>
      <c r="N1236" s="67"/>
      <c r="O1236" s="66"/>
      <c r="P1236" s="66"/>
      <c r="Q1236" s="66"/>
      <c r="R1236" s="66"/>
      <c r="S1236" s="66"/>
      <c r="T1236" s="66"/>
      <c r="U1236" s="66"/>
      <c r="V1236" s="66"/>
      <c r="W1236" s="66"/>
      <c r="X1236" s="66"/>
      <c r="Y1236" s="66"/>
      <c r="Z1236" s="66"/>
      <c r="AA1236" s="66"/>
      <c r="AB1236" s="66"/>
      <c r="AC1236" s="66"/>
      <c r="AD1236" s="66"/>
      <c r="AE1236" s="66"/>
      <c r="AF1236" s="66"/>
      <c r="AG1236" s="66"/>
      <c r="AH1236" s="66"/>
      <c r="AI1236" s="66"/>
      <c r="AJ1236" s="66"/>
      <c r="AK1236" s="66"/>
      <c r="AL1236" s="66"/>
      <c r="AM1236" s="66"/>
      <c r="AN1236" s="66"/>
      <c r="AO1236" s="66"/>
      <c r="AP1236" s="66"/>
      <c r="AQ1236" s="66"/>
      <c r="AR1236" s="68"/>
      <c r="AS1236" s="66"/>
      <c r="AT1236" s="66"/>
      <c r="AU1236" s="66"/>
      <c r="AV1236" s="69"/>
      <c r="AW1236" s="69"/>
      <c r="AX1236" s="69"/>
      <c r="AY1236" s="69"/>
      <c r="AZ1236" s="69"/>
      <c r="BA1236" s="69"/>
      <c r="BB1236" s="69"/>
      <c r="BC1236" s="69"/>
      <c r="BD1236" s="69"/>
      <c r="BE1236" s="69"/>
      <c r="BF1236" s="55"/>
      <c r="BG1236" s="70"/>
      <c r="BH1236" s="63">
        <f t="shared" si="55"/>
        <v>0</v>
      </c>
      <c r="BI1236" s="63"/>
      <c r="BJ1236" s="70"/>
      <c r="BK1236" s="203">
        <f t="shared" si="56"/>
        <v>0</v>
      </c>
      <c r="BL1236" s="63"/>
      <c r="BM1236" s="71"/>
      <c r="BN1236" s="71"/>
      <c r="BO1236" s="71"/>
    </row>
    <row r="1237" spans="2:67" ht="18.95" customHeight="1">
      <c r="B1237" s="51" t="s">
        <v>84</v>
      </c>
      <c r="C1237" s="52" t="s">
        <v>1229</v>
      </c>
      <c r="D1237" s="53"/>
      <c r="E1237" s="198"/>
      <c r="F1237" s="66"/>
      <c r="G1237" s="66"/>
      <c r="H1237" s="66"/>
      <c r="I1237" s="66"/>
      <c r="J1237" s="66"/>
      <c r="K1237" s="66"/>
      <c r="L1237" s="66"/>
      <c r="M1237" s="66"/>
      <c r="N1237" s="67"/>
      <c r="O1237" s="66"/>
      <c r="P1237" s="66"/>
      <c r="Q1237" s="66"/>
      <c r="R1237" s="66"/>
      <c r="S1237" s="66"/>
      <c r="T1237" s="66"/>
      <c r="U1237" s="66"/>
      <c r="V1237" s="66"/>
      <c r="W1237" s="66"/>
      <c r="X1237" s="66"/>
      <c r="Y1237" s="66"/>
      <c r="Z1237" s="66"/>
      <c r="AA1237" s="66"/>
      <c r="AB1237" s="66"/>
      <c r="AC1237" s="66"/>
      <c r="AD1237" s="66"/>
      <c r="AE1237" s="66"/>
      <c r="AF1237" s="66"/>
      <c r="AG1237" s="66"/>
      <c r="AH1237" s="66"/>
      <c r="AI1237" s="66"/>
      <c r="AJ1237" s="66"/>
      <c r="AK1237" s="66"/>
      <c r="AL1237" s="66"/>
      <c r="AM1237" s="66"/>
      <c r="AN1237" s="66"/>
      <c r="AO1237" s="66"/>
      <c r="AP1237" s="66"/>
      <c r="AQ1237" s="66"/>
      <c r="AR1237" s="68"/>
      <c r="AS1237" s="66"/>
      <c r="AT1237" s="66"/>
      <c r="AU1237" s="66"/>
      <c r="AV1237" s="69"/>
      <c r="AW1237" s="69"/>
      <c r="AX1237" s="69"/>
      <c r="AY1237" s="69"/>
      <c r="AZ1237" s="69"/>
      <c r="BA1237" s="69"/>
      <c r="BB1237" s="69"/>
      <c r="BC1237" s="69"/>
      <c r="BD1237" s="69"/>
      <c r="BE1237" s="69"/>
      <c r="BF1237" s="55"/>
      <c r="BG1237" s="70"/>
      <c r="BH1237" s="63">
        <f t="shared" si="55"/>
        <v>0</v>
      </c>
      <c r="BI1237" s="63"/>
      <c r="BJ1237" s="70"/>
      <c r="BK1237" s="203">
        <f t="shared" si="56"/>
        <v>0</v>
      </c>
      <c r="BL1237" s="63"/>
      <c r="BM1237" s="71"/>
      <c r="BN1237" s="71"/>
      <c r="BO1237" s="71"/>
    </row>
    <row r="1238" spans="2:67" ht="18.95" customHeight="1">
      <c r="B1238" s="51" t="s">
        <v>86</v>
      </c>
      <c r="C1238" s="52" t="s">
        <v>1229</v>
      </c>
      <c r="D1238" s="53"/>
      <c r="E1238" s="194"/>
      <c r="F1238" s="66"/>
      <c r="G1238" s="66"/>
      <c r="H1238" s="66"/>
      <c r="I1238" s="66"/>
      <c r="J1238" s="66"/>
      <c r="K1238" s="66"/>
      <c r="L1238" s="66"/>
      <c r="M1238" s="66"/>
      <c r="N1238" s="67"/>
      <c r="O1238" s="66"/>
      <c r="P1238" s="66"/>
      <c r="Q1238" s="66"/>
      <c r="R1238" s="66"/>
      <c r="S1238" s="66"/>
      <c r="T1238" s="66"/>
      <c r="U1238" s="66"/>
      <c r="V1238" s="66"/>
      <c r="W1238" s="66"/>
      <c r="X1238" s="66"/>
      <c r="Y1238" s="66"/>
      <c r="Z1238" s="66"/>
      <c r="AA1238" s="66"/>
      <c r="AB1238" s="66"/>
      <c r="AC1238" s="66"/>
      <c r="AD1238" s="66"/>
      <c r="AE1238" s="66"/>
      <c r="AF1238" s="66"/>
      <c r="AG1238" s="66"/>
      <c r="AH1238" s="66"/>
      <c r="AI1238" s="66"/>
      <c r="AJ1238" s="66"/>
      <c r="AK1238" s="66"/>
      <c r="AL1238" s="66"/>
      <c r="AM1238" s="66"/>
      <c r="AN1238" s="66"/>
      <c r="AO1238" s="66"/>
      <c r="AP1238" s="66"/>
      <c r="AQ1238" s="66"/>
      <c r="AR1238" s="68"/>
      <c r="AS1238" s="66"/>
      <c r="AT1238" s="66"/>
      <c r="AU1238" s="66"/>
      <c r="AV1238" s="69"/>
      <c r="AW1238" s="69"/>
      <c r="AX1238" s="69"/>
      <c r="AY1238" s="69"/>
      <c r="AZ1238" s="69"/>
      <c r="BA1238" s="69"/>
      <c r="BB1238" s="69"/>
      <c r="BC1238" s="69"/>
      <c r="BD1238" s="69"/>
      <c r="BE1238" s="69"/>
      <c r="BF1238" s="55"/>
      <c r="BG1238" s="70"/>
      <c r="BH1238" s="63">
        <f t="shared" si="55"/>
        <v>0</v>
      </c>
      <c r="BI1238" s="63"/>
      <c r="BJ1238" s="70"/>
      <c r="BK1238" s="203">
        <f t="shared" si="56"/>
        <v>0</v>
      </c>
      <c r="BL1238" s="63"/>
      <c r="BM1238" s="71"/>
      <c r="BN1238" s="71"/>
      <c r="BO1238" s="71"/>
    </row>
    <row r="1239" spans="2:67" ht="18.95" customHeight="1">
      <c r="B1239" s="51" t="s">
        <v>88</v>
      </c>
      <c r="C1239" s="52" t="s">
        <v>1229</v>
      </c>
      <c r="D1239" s="53"/>
      <c r="E1239" s="214"/>
      <c r="F1239" s="66"/>
      <c r="G1239" s="66"/>
      <c r="H1239" s="66"/>
      <c r="I1239" s="66"/>
      <c r="J1239" s="66"/>
      <c r="K1239" s="66"/>
      <c r="L1239" s="66"/>
      <c r="M1239" s="66"/>
      <c r="N1239" s="67"/>
      <c r="O1239" s="66"/>
      <c r="P1239" s="66"/>
      <c r="Q1239" s="66"/>
      <c r="R1239" s="66"/>
      <c r="S1239" s="66"/>
      <c r="T1239" s="66"/>
      <c r="U1239" s="66"/>
      <c r="V1239" s="66"/>
      <c r="W1239" s="66"/>
      <c r="X1239" s="66"/>
      <c r="Y1239" s="66"/>
      <c r="Z1239" s="66"/>
      <c r="AA1239" s="66"/>
      <c r="AB1239" s="66"/>
      <c r="AC1239" s="66"/>
      <c r="AD1239" s="66"/>
      <c r="AE1239" s="66"/>
      <c r="AF1239" s="66"/>
      <c r="AG1239" s="66"/>
      <c r="AH1239" s="66"/>
      <c r="AI1239" s="66"/>
      <c r="AJ1239" s="66"/>
      <c r="AK1239" s="66"/>
      <c r="AL1239" s="66"/>
      <c r="AM1239" s="66"/>
      <c r="AN1239" s="66"/>
      <c r="AO1239" s="66"/>
      <c r="AP1239" s="66"/>
      <c r="AQ1239" s="66"/>
      <c r="AR1239" s="68"/>
      <c r="AS1239" s="66"/>
      <c r="AT1239" s="66"/>
      <c r="AU1239" s="66"/>
      <c r="AV1239" s="69"/>
      <c r="AW1239" s="69"/>
      <c r="AX1239" s="69"/>
      <c r="AY1239" s="69"/>
      <c r="AZ1239" s="69"/>
      <c r="BA1239" s="69"/>
      <c r="BB1239" s="69"/>
      <c r="BC1239" s="69"/>
      <c r="BD1239" s="69"/>
      <c r="BE1239" s="69"/>
      <c r="BF1239" s="55"/>
      <c r="BG1239" s="70"/>
      <c r="BH1239" s="63">
        <f t="shared" si="55"/>
        <v>0</v>
      </c>
      <c r="BI1239" s="63"/>
      <c r="BJ1239" s="70"/>
      <c r="BK1239" s="203">
        <f t="shared" si="56"/>
        <v>0</v>
      </c>
      <c r="BL1239" s="63"/>
      <c r="BM1239" s="71"/>
      <c r="BN1239" s="71"/>
      <c r="BO1239" s="71"/>
    </row>
    <row r="1240" spans="2:67" ht="18.95" customHeight="1">
      <c r="B1240" s="51" t="s">
        <v>90</v>
      </c>
      <c r="C1240" s="52" t="s">
        <v>1229</v>
      </c>
      <c r="D1240" s="53"/>
      <c r="E1240" s="194"/>
      <c r="F1240" s="66"/>
      <c r="G1240" s="66"/>
      <c r="H1240" s="66"/>
      <c r="I1240" s="66"/>
      <c r="J1240" s="66"/>
      <c r="K1240" s="66"/>
      <c r="L1240" s="66"/>
      <c r="M1240" s="66"/>
      <c r="N1240" s="67"/>
      <c r="O1240" s="66"/>
      <c r="P1240" s="66"/>
      <c r="Q1240" s="66"/>
      <c r="R1240" s="66"/>
      <c r="S1240" s="66"/>
      <c r="T1240" s="66"/>
      <c r="U1240" s="66"/>
      <c r="V1240" s="66"/>
      <c r="W1240" s="66"/>
      <c r="X1240" s="66"/>
      <c r="Y1240" s="66"/>
      <c r="Z1240" s="66"/>
      <c r="AA1240" s="66"/>
      <c r="AB1240" s="66"/>
      <c r="AC1240" s="66"/>
      <c r="AD1240" s="66"/>
      <c r="AE1240" s="66"/>
      <c r="AF1240" s="66"/>
      <c r="AG1240" s="66"/>
      <c r="AH1240" s="66"/>
      <c r="AI1240" s="66"/>
      <c r="AJ1240" s="66"/>
      <c r="AK1240" s="66"/>
      <c r="AL1240" s="66"/>
      <c r="AM1240" s="66"/>
      <c r="AN1240" s="66"/>
      <c r="AO1240" s="66"/>
      <c r="AP1240" s="66"/>
      <c r="AQ1240" s="66"/>
      <c r="AR1240" s="68"/>
      <c r="AS1240" s="66"/>
      <c r="AT1240" s="66"/>
      <c r="AU1240" s="66"/>
      <c r="AV1240" s="69"/>
      <c r="AW1240" s="69"/>
      <c r="AX1240" s="69"/>
      <c r="AY1240" s="69"/>
      <c r="AZ1240" s="69"/>
      <c r="BA1240" s="69"/>
      <c r="BB1240" s="69"/>
      <c r="BC1240" s="69"/>
      <c r="BD1240" s="69"/>
      <c r="BE1240" s="69"/>
      <c r="BF1240" s="55"/>
      <c r="BG1240" s="70"/>
      <c r="BH1240" s="63">
        <f t="shared" si="55"/>
        <v>0</v>
      </c>
      <c r="BI1240" s="63"/>
      <c r="BJ1240" s="70"/>
      <c r="BK1240" s="203">
        <f t="shared" si="56"/>
        <v>0</v>
      </c>
      <c r="BL1240" s="63"/>
      <c r="BM1240" s="71"/>
      <c r="BN1240" s="71"/>
      <c r="BO1240" s="71"/>
    </row>
    <row r="1241" spans="2:67" ht="18.95" customHeight="1">
      <c r="B1241" s="51" t="s">
        <v>92</v>
      </c>
      <c r="C1241" s="52" t="s">
        <v>1229</v>
      </c>
      <c r="D1241" s="53"/>
      <c r="E1241" s="194"/>
      <c r="F1241" s="66"/>
      <c r="G1241" s="66"/>
      <c r="H1241" s="66"/>
      <c r="I1241" s="66"/>
      <c r="J1241" s="66"/>
      <c r="K1241" s="66"/>
      <c r="L1241" s="66"/>
      <c r="M1241" s="66"/>
      <c r="N1241" s="67"/>
      <c r="O1241" s="66"/>
      <c r="P1241" s="66"/>
      <c r="Q1241" s="66"/>
      <c r="R1241" s="66"/>
      <c r="S1241" s="66"/>
      <c r="T1241" s="66"/>
      <c r="U1241" s="66"/>
      <c r="V1241" s="66"/>
      <c r="W1241" s="66"/>
      <c r="X1241" s="66"/>
      <c r="Y1241" s="66"/>
      <c r="Z1241" s="66"/>
      <c r="AA1241" s="66"/>
      <c r="AB1241" s="66"/>
      <c r="AC1241" s="66"/>
      <c r="AD1241" s="66"/>
      <c r="AE1241" s="66"/>
      <c r="AF1241" s="66"/>
      <c r="AG1241" s="66"/>
      <c r="AH1241" s="66"/>
      <c r="AI1241" s="66"/>
      <c r="AJ1241" s="66"/>
      <c r="AK1241" s="66"/>
      <c r="AL1241" s="66"/>
      <c r="AM1241" s="66"/>
      <c r="AN1241" s="66"/>
      <c r="AO1241" s="66"/>
      <c r="AP1241" s="66"/>
      <c r="AQ1241" s="66"/>
      <c r="AR1241" s="68"/>
      <c r="AS1241" s="66"/>
      <c r="AT1241" s="66"/>
      <c r="AU1241" s="66"/>
      <c r="AV1241" s="69"/>
      <c r="AW1241" s="69"/>
      <c r="AX1241" s="69"/>
      <c r="AY1241" s="69"/>
      <c r="AZ1241" s="69"/>
      <c r="BA1241" s="69"/>
      <c r="BB1241" s="69"/>
      <c r="BC1241" s="69"/>
      <c r="BD1241" s="69"/>
      <c r="BE1241" s="69"/>
      <c r="BF1241" s="55"/>
      <c r="BG1241" s="70"/>
      <c r="BH1241" s="63">
        <f t="shared" si="55"/>
        <v>0</v>
      </c>
      <c r="BI1241" s="63"/>
      <c r="BJ1241" s="70"/>
      <c r="BK1241" s="203">
        <f t="shared" si="56"/>
        <v>0</v>
      </c>
      <c r="BL1241" s="63"/>
      <c r="BM1241" s="71"/>
      <c r="BN1241" s="71"/>
      <c r="BO1241" s="71"/>
    </row>
    <row r="1242" spans="2:67" ht="18.95" customHeight="1">
      <c r="B1242" s="51" t="s">
        <v>94</v>
      </c>
      <c r="C1242" s="52" t="s">
        <v>1229</v>
      </c>
      <c r="D1242" s="53"/>
      <c r="E1242" s="194"/>
      <c r="F1242" s="66"/>
      <c r="G1242" s="66"/>
      <c r="H1242" s="66"/>
      <c r="I1242" s="66"/>
      <c r="J1242" s="66"/>
      <c r="K1242" s="66"/>
      <c r="L1242" s="66"/>
      <c r="M1242" s="66"/>
      <c r="N1242" s="67"/>
      <c r="O1242" s="66"/>
      <c r="P1242" s="66"/>
      <c r="Q1242" s="66"/>
      <c r="R1242" s="66"/>
      <c r="S1242" s="66"/>
      <c r="T1242" s="66"/>
      <c r="U1242" s="66"/>
      <c r="V1242" s="66"/>
      <c r="W1242" s="66"/>
      <c r="X1242" s="66"/>
      <c r="Y1242" s="66"/>
      <c r="Z1242" s="66"/>
      <c r="AA1242" s="66"/>
      <c r="AB1242" s="66"/>
      <c r="AC1242" s="66"/>
      <c r="AD1242" s="66"/>
      <c r="AE1242" s="66"/>
      <c r="AF1242" s="66"/>
      <c r="AG1242" s="66"/>
      <c r="AH1242" s="66"/>
      <c r="AI1242" s="66"/>
      <c r="AJ1242" s="66"/>
      <c r="AK1242" s="66"/>
      <c r="AL1242" s="66"/>
      <c r="AM1242" s="66"/>
      <c r="AN1242" s="66"/>
      <c r="AO1242" s="66"/>
      <c r="AP1242" s="66"/>
      <c r="AQ1242" s="66"/>
      <c r="AR1242" s="68"/>
      <c r="AS1242" s="66"/>
      <c r="AT1242" s="66"/>
      <c r="AU1242" s="66"/>
      <c r="AV1242" s="69"/>
      <c r="AW1242" s="69"/>
      <c r="AX1242" s="69"/>
      <c r="AY1242" s="69"/>
      <c r="AZ1242" s="69"/>
      <c r="BA1242" s="69"/>
      <c r="BB1242" s="69"/>
      <c r="BC1242" s="69"/>
      <c r="BD1242" s="69"/>
      <c r="BE1242" s="69"/>
      <c r="BF1242" s="55"/>
      <c r="BG1242" s="70"/>
      <c r="BH1242" s="63">
        <f t="shared" si="55"/>
        <v>0</v>
      </c>
      <c r="BI1242" s="63"/>
      <c r="BJ1242" s="70"/>
      <c r="BK1242" s="203">
        <f t="shared" si="56"/>
        <v>0</v>
      </c>
      <c r="BL1242" s="63"/>
      <c r="BM1242" s="71"/>
      <c r="BN1242" s="71"/>
      <c r="BO1242" s="71"/>
    </row>
    <row r="1243" spans="2:67" ht="18.95" customHeight="1">
      <c r="B1243" s="51" t="s">
        <v>96</v>
      </c>
      <c r="C1243" s="52" t="s">
        <v>1229</v>
      </c>
      <c r="D1243" s="53"/>
      <c r="E1243" s="194"/>
      <c r="F1243" s="66"/>
      <c r="G1243" s="66"/>
      <c r="H1243" s="66"/>
      <c r="I1243" s="66"/>
      <c r="J1243" s="66"/>
      <c r="K1243" s="66"/>
      <c r="L1243" s="66"/>
      <c r="M1243" s="66"/>
      <c r="N1243" s="67"/>
      <c r="O1243" s="66"/>
      <c r="P1243" s="66"/>
      <c r="Q1243" s="66"/>
      <c r="R1243" s="66"/>
      <c r="S1243" s="66"/>
      <c r="T1243" s="66"/>
      <c r="U1243" s="66"/>
      <c r="V1243" s="66"/>
      <c r="W1243" s="66"/>
      <c r="X1243" s="66"/>
      <c r="Y1243" s="66"/>
      <c r="Z1243" s="66"/>
      <c r="AA1243" s="66"/>
      <c r="AB1243" s="66"/>
      <c r="AC1243" s="66"/>
      <c r="AD1243" s="66"/>
      <c r="AE1243" s="66"/>
      <c r="AF1243" s="66"/>
      <c r="AG1243" s="66"/>
      <c r="AH1243" s="66"/>
      <c r="AI1243" s="66"/>
      <c r="AJ1243" s="66"/>
      <c r="AK1243" s="66"/>
      <c r="AL1243" s="66"/>
      <c r="AM1243" s="66"/>
      <c r="AN1243" s="66"/>
      <c r="AO1243" s="66"/>
      <c r="AP1243" s="66"/>
      <c r="AQ1243" s="66"/>
      <c r="AR1243" s="68"/>
      <c r="AS1243" s="66"/>
      <c r="AT1243" s="66"/>
      <c r="AU1243" s="66"/>
      <c r="AV1243" s="69"/>
      <c r="AW1243" s="69"/>
      <c r="AX1243" s="69"/>
      <c r="AY1243" s="69"/>
      <c r="AZ1243" s="69"/>
      <c r="BA1243" s="69"/>
      <c r="BB1243" s="69"/>
      <c r="BC1243" s="69"/>
      <c r="BD1243" s="69"/>
      <c r="BE1243" s="69"/>
      <c r="BF1243" s="55"/>
      <c r="BG1243" s="70"/>
      <c r="BH1243" s="63">
        <f t="shared" si="55"/>
        <v>0</v>
      </c>
      <c r="BI1243" s="63"/>
      <c r="BJ1243" s="70"/>
      <c r="BK1243" s="203">
        <f t="shared" si="56"/>
        <v>0</v>
      </c>
      <c r="BL1243" s="63"/>
      <c r="BM1243" s="71"/>
      <c r="BN1243" s="71"/>
      <c r="BO1243" s="71"/>
    </row>
    <row r="1244" spans="2:67" ht="18.95" customHeight="1">
      <c r="B1244" s="51" t="s">
        <v>98</v>
      </c>
      <c r="C1244" s="52" t="s">
        <v>1229</v>
      </c>
      <c r="D1244" s="53"/>
      <c r="E1244" s="194"/>
      <c r="F1244" s="66"/>
      <c r="G1244" s="66"/>
      <c r="H1244" s="66"/>
      <c r="I1244" s="66"/>
      <c r="J1244" s="66"/>
      <c r="K1244" s="66"/>
      <c r="L1244" s="66"/>
      <c r="M1244" s="66"/>
      <c r="N1244" s="67"/>
      <c r="O1244" s="66"/>
      <c r="P1244" s="66"/>
      <c r="Q1244" s="66"/>
      <c r="R1244" s="66"/>
      <c r="S1244" s="66"/>
      <c r="T1244" s="66"/>
      <c r="U1244" s="66"/>
      <c r="V1244" s="66"/>
      <c r="W1244" s="66"/>
      <c r="X1244" s="66"/>
      <c r="Y1244" s="66"/>
      <c r="Z1244" s="66"/>
      <c r="AA1244" s="66"/>
      <c r="AB1244" s="66"/>
      <c r="AC1244" s="66"/>
      <c r="AD1244" s="66"/>
      <c r="AE1244" s="66"/>
      <c r="AF1244" s="66"/>
      <c r="AG1244" s="66"/>
      <c r="AH1244" s="66"/>
      <c r="AI1244" s="66"/>
      <c r="AJ1244" s="66"/>
      <c r="AK1244" s="66"/>
      <c r="AL1244" s="66"/>
      <c r="AM1244" s="66"/>
      <c r="AN1244" s="66"/>
      <c r="AO1244" s="66"/>
      <c r="AP1244" s="66"/>
      <c r="AQ1244" s="66"/>
      <c r="AR1244" s="68"/>
      <c r="AS1244" s="66"/>
      <c r="AT1244" s="66"/>
      <c r="AU1244" s="66"/>
      <c r="AV1244" s="69"/>
      <c r="AW1244" s="69"/>
      <c r="AX1244" s="69"/>
      <c r="AY1244" s="69"/>
      <c r="AZ1244" s="69"/>
      <c r="BA1244" s="69"/>
      <c r="BB1244" s="69"/>
      <c r="BC1244" s="69"/>
      <c r="BD1244" s="69"/>
      <c r="BE1244" s="69"/>
      <c r="BF1244" s="55"/>
      <c r="BG1244" s="70"/>
      <c r="BH1244" s="63">
        <f t="shared" si="55"/>
        <v>0</v>
      </c>
      <c r="BI1244" s="63"/>
      <c r="BJ1244" s="70"/>
      <c r="BK1244" s="203">
        <f t="shared" si="56"/>
        <v>0</v>
      </c>
      <c r="BL1244" s="63"/>
      <c r="BM1244" s="71"/>
      <c r="BN1244" s="71"/>
      <c r="BO1244" s="71"/>
    </row>
    <row r="1245" spans="2:67" ht="18.95" customHeight="1">
      <c r="B1245" s="51" t="s">
        <v>100</v>
      </c>
      <c r="C1245" s="52" t="s">
        <v>1229</v>
      </c>
      <c r="D1245" s="53"/>
      <c r="E1245" s="194"/>
      <c r="F1245" s="66"/>
      <c r="G1245" s="66"/>
      <c r="H1245" s="66"/>
      <c r="I1245" s="66"/>
      <c r="J1245" s="66"/>
      <c r="K1245" s="66"/>
      <c r="L1245" s="66"/>
      <c r="M1245" s="66"/>
      <c r="N1245" s="67"/>
      <c r="O1245" s="66"/>
      <c r="P1245" s="66"/>
      <c r="Q1245" s="66"/>
      <c r="R1245" s="66"/>
      <c r="S1245" s="66"/>
      <c r="T1245" s="66"/>
      <c r="U1245" s="66"/>
      <c r="V1245" s="66"/>
      <c r="W1245" s="66"/>
      <c r="X1245" s="66"/>
      <c r="Y1245" s="66"/>
      <c r="Z1245" s="66"/>
      <c r="AA1245" s="66"/>
      <c r="AB1245" s="66"/>
      <c r="AC1245" s="66"/>
      <c r="AD1245" s="66"/>
      <c r="AE1245" s="66"/>
      <c r="AF1245" s="66"/>
      <c r="AG1245" s="66"/>
      <c r="AH1245" s="66"/>
      <c r="AI1245" s="66"/>
      <c r="AJ1245" s="66"/>
      <c r="AK1245" s="66"/>
      <c r="AL1245" s="66"/>
      <c r="AM1245" s="66"/>
      <c r="AN1245" s="66"/>
      <c r="AO1245" s="66"/>
      <c r="AP1245" s="66"/>
      <c r="AQ1245" s="66"/>
      <c r="AR1245" s="68"/>
      <c r="AS1245" s="66"/>
      <c r="AT1245" s="66"/>
      <c r="AU1245" s="66"/>
      <c r="AV1245" s="69"/>
      <c r="AW1245" s="69"/>
      <c r="AX1245" s="69"/>
      <c r="AY1245" s="69"/>
      <c r="AZ1245" s="69"/>
      <c r="BA1245" s="69"/>
      <c r="BB1245" s="69"/>
      <c r="BC1245" s="69"/>
      <c r="BD1245" s="69"/>
      <c r="BE1245" s="69"/>
      <c r="BF1245" s="55"/>
      <c r="BG1245" s="70"/>
      <c r="BH1245" s="63">
        <f t="shared" si="55"/>
        <v>0</v>
      </c>
      <c r="BI1245" s="63"/>
      <c r="BJ1245" s="70"/>
      <c r="BK1245" s="203">
        <f t="shared" si="56"/>
        <v>0</v>
      </c>
      <c r="BL1245" s="63"/>
      <c r="BM1245" s="71"/>
      <c r="BN1245" s="71"/>
      <c r="BO1245" s="71"/>
    </row>
    <row r="1246" spans="2:67" ht="18.95" customHeight="1">
      <c r="B1246" s="51" t="s">
        <v>102</v>
      </c>
      <c r="C1246" s="52" t="s">
        <v>1229</v>
      </c>
      <c r="D1246" s="53"/>
      <c r="E1246" s="214"/>
      <c r="F1246" s="66"/>
      <c r="G1246" s="66"/>
      <c r="H1246" s="66"/>
      <c r="I1246" s="66"/>
      <c r="J1246" s="66"/>
      <c r="K1246" s="66"/>
      <c r="L1246" s="66"/>
      <c r="M1246" s="66"/>
      <c r="N1246" s="67"/>
      <c r="O1246" s="66"/>
      <c r="P1246" s="66"/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  <c r="AA1246" s="66"/>
      <c r="AB1246" s="66"/>
      <c r="AC1246" s="66"/>
      <c r="AD1246" s="66"/>
      <c r="AE1246" s="66"/>
      <c r="AF1246" s="66"/>
      <c r="AG1246" s="66"/>
      <c r="AH1246" s="66"/>
      <c r="AI1246" s="66"/>
      <c r="AJ1246" s="66"/>
      <c r="AK1246" s="66"/>
      <c r="AL1246" s="66"/>
      <c r="AM1246" s="66"/>
      <c r="AN1246" s="66"/>
      <c r="AO1246" s="66"/>
      <c r="AP1246" s="66"/>
      <c r="AQ1246" s="66"/>
      <c r="AR1246" s="68"/>
      <c r="AS1246" s="66"/>
      <c r="AT1246" s="66"/>
      <c r="AU1246" s="66"/>
      <c r="AV1246" s="69"/>
      <c r="AW1246" s="69"/>
      <c r="AX1246" s="69"/>
      <c r="AY1246" s="69"/>
      <c r="AZ1246" s="69"/>
      <c r="BA1246" s="69"/>
      <c r="BB1246" s="69"/>
      <c r="BC1246" s="69"/>
      <c r="BD1246" s="69"/>
      <c r="BE1246" s="69"/>
      <c r="BF1246" s="55"/>
      <c r="BG1246" s="70"/>
      <c r="BH1246" s="63">
        <f t="shared" si="55"/>
        <v>0</v>
      </c>
      <c r="BI1246" s="63"/>
      <c r="BJ1246" s="70"/>
      <c r="BK1246" s="203">
        <f t="shared" si="56"/>
        <v>0</v>
      </c>
      <c r="BL1246" s="63"/>
      <c r="BM1246" s="71"/>
      <c r="BN1246" s="71"/>
      <c r="BO1246" s="71"/>
    </row>
    <row r="1247" spans="2:67" ht="18.95" customHeight="1">
      <c r="B1247" s="51" t="s">
        <v>104</v>
      </c>
      <c r="C1247" s="52" t="s">
        <v>1229</v>
      </c>
      <c r="D1247" s="53"/>
      <c r="E1247" s="214"/>
      <c r="F1247" s="66"/>
      <c r="G1247" s="66"/>
      <c r="H1247" s="66"/>
      <c r="I1247" s="66"/>
      <c r="J1247" s="66"/>
      <c r="K1247" s="66"/>
      <c r="L1247" s="66"/>
      <c r="M1247" s="66"/>
      <c r="N1247" s="67"/>
      <c r="O1247" s="66"/>
      <c r="P1247" s="66"/>
      <c r="Q1247" s="66"/>
      <c r="R1247" s="66"/>
      <c r="S1247" s="66"/>
      <c r="T1247" s="66"/>
      <c r="U1247" s="66"/>
      <c r="V1247" s="66"/>
      <c r="W1247" s="66"/>
      <c r="X1247" s="66"/>
      <c r="Y1247" s="66"/>
      <c r="Z1247" s="66"/>
      <c r="AA1247" s="66"/>
      <c r="AB1247" s="66"/>
      <c r="AC1247" s="66"/>
      <c r="AD1247" s="66"/>
      <c r="AE1247" s="66"/>
      <c r="AF1247" s="66"/>
      <c r="AG1247" s="66"/>
      <c r="AH1247" s="66"/>
      <c r="AI1247" s="66"/>
      <c r="AJ1247" s="66"/>
      <c r="AK1247" s="66"/>
      <c r="AL1247" s="66"/>
      <c r="AM1247" s="66"/>
      <c r="AN1247" s="66"/>
      <c r="AO1247" s="66"/>
      <c r="AP1247" s="66"/>
      <c r="AQ1247" s="66"/>
      <c r="AR1247" s="68"/>
      <c r="AS1247" s="66"/>
      <c r="AT1247" s="66"/>
      <c r="AU1247" s="66"/>
      <c r="AV1247" s="69"/>
      <c r="AW1247" s="69"/>
      <c r="AX1247" s="69"/>
      <c r="AY1247" s="69"/>
      <c r="AZ1247" s="69"/>
      <c r="BA1247" s="69"/>
      <c r="BB1247" s="69"/>
      <c r="BC1247" s="69"/>
      <c r="BD1247" s="69"/>
      <c r="BE1247" s="69"/>
      <c r="BF1247" s="55"/>
      <c r="BG1247" s="70"/>
      <c r="BH1247" s="63">
        <f t="shared" si="55"/>
        <v>0</v>
      </c>
      <c r="BI1247" s="63"/>
      <c r="BJ1247" s="70"/>
      <c r="BK1247" s="203">
        <f t="shared" si="56"/>
        <v>0</v>
      </c>
      <c r="BL1247" s="63"/>
      <c r="BM1247" s="71"/>
      <c r="BN1247" s="71"/>
      <c r="BO1247" s="71"/>
    </row>
    <row r="1248" spans="2:67" ht="18.95" customHeight="1">
      <c r="B1248" s="51" t="s">
        <v>106</v>
      </c>
      <c r="C1248" s="52" t="s">
        <v>1229</v>
      </c>
      <c r="D1248" s="53"/>
      <c r="E1248" s="197"/>
      <c r="F1248" s="66"/>
      <c r="G1248" s="66"/>
      <c r="H1248" s="66"/>
      <c r="I1248" s="66"/>
      <c r="J1248" s="66"/>
      <c r="K1248" s="66"/>
      <c r="L1248" s="66"/>
      <c r="M1248" s="66"/>
      <c r="N1248" s="67"/>
      <c r="O1248" s="66"/>
      <c r="P1248" s="66"/>
      <c r="Q1248" s="66"/>
      <c r="R1248" s="66"/>
      <c r="S1248" s="66"/>
      <c r="T1248" s="66"/>
      <c r="U1248" s="66"/>
      <c r="V1248" s="66"/>
      <c r="W1248" s="66"/>
      <c r="X1248" s="66"/>
      <c r="Y1248" s="66"/>
      <c r="Z1248" s="66"/>
      <c r="AA1248" s="66"/>
      <c r="AB1248" s="66"/>
      <c r="AC1248" s="66"/>
      <c r="AD1248" s="66"/>
      <c r="AE1248" s="66"/>
      <c r="AF1248" s="66"/>
      <c r="AG1248" s="66"/>
      <c r="AH1248" s="66"/>
      <c r="AI1248" s="66"/>
      <c r="AJ1248" s="66"/>
      <c r="AK1248" s="66"/>
      <c r="AL1248" s="66"/>
      <c r="AM1248" s="66"/>
      <c r="AN1248" s="66"/>
      <c r="AO1248" s="66"/>
      <c r="AP1248" s="66"/>
      <c r="AQ1248" s="66"/>
      <c r="AR1248" s="68"/>
      <c r="AS1248" s="66"/>
      <c r="AT1248" s="66"/>
      <c r="AU1248" s="66"/>
      <c r="AV1248" s="69"/>
      <c r="AW1248" s="69"/>
      <c r="AX1248" s="69"/>
      <c r="AY1248" s="69"/>
      <c r="AZ1248" s="69"/>
      <c r="BA1248" s="69"/>
      <c r="BB1248" s="69"/>
      <c r="BC1248" s="69"/>
      <c r="BD1248" s="69"/>
      <c r="BE1248" s="69"/>
      <c r="BF1248" s="55"/>
      <c r="BG1248" s="70"/>
      <c r="BH1248" s="63">
        <f t="shared" si="55"/>
        <v>0</v>
      </c>
      <c r="BI1248" s="63"/>
      <c r="BJ1248" s="70"/>
      <c r="BK1248" s="203">
        <f t="shared" si="56"/>
        <v>0</v>
      </c>
      <c r="BL1248" s="63"/>
      <c r="BM1248" s="71"/>
      <c r="BN1248" s="71"/>
      <c r="BO1248" s="71"/>
    </row>
    <row r="1249" spans="2:67" ht="18.95" customHeight="1">
      <c r="B1249" s="51" t="s">
        <v>108</v>
      </c>
      <c r="C1249" s="52" t="s">
        <v>1229</v>
      </c>
      <c r="D1249" s="53"/>
      <c r="E1249" s="202"/>
      <c r="F1249" s="66"/>
      <c r="G1249" s="66"/>
      <c r="H1249" s="66"/>
      <c r="I1249" s="66"/>
      <c r="J1249" s="66"/>
      <c r="K1249" s="66"/>
      <c r="L1249" s="66"/>
      <c r="M1249" s="66"/>
      <c r="N1249" s="67"/>
      <c r="O1249" s="66"/>
      <c r="P1249" s="66"/>
      <c r="Q1249" s="66"/>
      <c r="R1249" s="66"/>
      <c r="S1249" s="66"/>
      <c r="T1249" s="66"/>
      <c r="U1249" s="66"/>
      <c r="V1249" s="66"/>
      <c r="W1249" s="66"/>
      <c r="X1249" s="66"/>
      <c r="Y1249" s="66"/>
      <c r="Z1249" s="66"/>
      <c r="AA1249" s="66"/>
      <c r="AB1249" s="66"/>
      <c r="AC1249" s="66"/>
      <c r="AD1249" s="66"/>
      <c r="AE1249" s="66"/>
      <c r="AF1249" s="66"/>
      <c r="AG1249" s="66"/>
      <c r="AH1249" s="66"/>
      <c r="AI1249" s="66"/>
      <c r="AJ1249" s="66"/>
      <c r="AK1249" s="66"/>
      <c r="AL1249" s="66"/>
      <c r="AM1249" s="66"/>
      <c r="AN1249" s="66"/>
      <c r="AO1249" s="66"/>
      <c r="AP1249" s="66"/>
      <c r="AQ1249" s="66"/>
      <c r="AR1249" s="68"/>
      <c r="AS1249" s="66"/>
      <c r="AT1249" s="66"/>
      <c r="AU1249" s="66"/>
      <c r="AV1249" s="69"/>
      <c r="AW1249" s="69"/>
      <c r="AX1249" s="69"/>
      <c r="AY1249" s="69"/>
      <c r="AZ1249" s="69"/>
      <c r="BA1249" s="69"/>
      <c r="BB1249" s="69"/>
      <c r="BC1249" s="69"/>
      <c r="BD1249" s="69"/>
      <c r="BE1249" s="69"/>
      <c r="BF1249" s="55"/>
      <c r="BG1249" s="70"/>
      <c r="BH1249" s="63">
        <f t="shared" si="55"/>
        <v>0</v>
      </c>
      <c r="BI1249" s="63"/>
      <c r="BJ1249" s="70"/>
      <c r="BK1249" s="203">
        <f t="shared" si="56"/>
        <v>0</v>
      </c>
      <c r="BL1249" s="63"/>
      <c r="BM1249" s="71"/>
      <c r="BN1249" s="71"/>
      <c r="BO1249" s="71"/>
    </row>
    <row r="1250" spans="2:67" ht="18.95" customHeight="1">
      <c r="B1250" s="51" t="s">
        <v>110</v>
      </c>
      <c r="C1250" s="52" t="s">
        <v>1229</v>
      </c>
      <c r="D1250" s="53"/>
      <c r="E1250" s="200"/>
      <c r="F1250" s="66"/>
      <c r="G1250" s="66"/>
      <c r="H1250" s="66"/>
      <c r="I1250" s="66"/>
      <c r="J1250" s="66"/>
      <c r="K1250" s="66"/>
      <c r="L1250" s="66"/>
      <c r="M1250" s="66"/>
      <c r="N1250" s="67"/>
      <c r="O1250" s="66"/>
      <c r="P1250" s="66"/>
      <c r="Q1250" s="66"/>
      <c r="R1250" s="66"/>
      <c r="S1250" s="66"/>
      <c r="T1250" s="66"/>
      <c r="U1250" s="66"/>
      <c r="V1250" s="66"/>
      <c r="W1250" s="66"/>
      <c r="X1250" s="66"/>
      <c r="Y1250" s="66"/>
      <c r="Z1250" s="66"/>
      <c r="AA1250" s="66"/>
      <c r="AB1250" s="66"/>
      <c r="AC1250" s="66"/>
      <c r="AD1250" s="66"/>
      <c r="AE1250" s="66"/>
      <c r="AF1250" s="66"/>
      <c r="AG1250" s="66"/>
      <c r="AH1250" s="66"/>
      <c r="AI1250" s="66"/>
      <c r="AJ1250" s="66"/>
      <c r="AK1250" s="66"/>
      <c r="AL1250" s="66"/>
      <c r="AM1250" s="66"/>
      <c r="AN1250" s="66"/>
      <c r="AO1250" s="66"/>
      <c r="AP1250" s="66"/>
      <c r="AQ1250" s="66"/>
      <c r="AR1250" s="68"/>
      <c r="AS1250" s="66"/>
      <c r="AT1250" s="66"/>
      <c r="AU1250" s="66"/>
      <c r="AV1250" s="69"/>
      <c r="AW1250" s="69"/>
      <c r="AX1250" s="69"/>
      <c r="AY1250" s="69"/>
      <c r="AZ1250" s="69"/>
      <c r="BA1250" s="69"/>
      <c r="BB1250" s="69"/>
      <c r="BC1250" s="69"/>
      <c r="BD1250" s="69"/>
      <c r="BE1250" s="69"/>
      <c r="BF1250" s="55"/>
      <c r="BG1250" s="70"/>
      <c r="BH1250" s="63">
        <f t="shared" si="55"/>
        <v>0</v>
      </c>
      <c r="BI1250" s="63"/>
      <c r="BJ1250" s="70"/>
      <c r="BK1250" s="203">
        <f t="shared" si="56"/>
        <v>0</v>
      </c>
      <c r="BL1250" s="63"/>
      <c r="BM1250" s="71"/>
      <c r="BN1250" s="71"/>
      <c r="BO1250" s="71"/>
    </row>
    <row r="1251" spans="2:67" ht="18.95" customHeight="1">
      <c r="B1251" s="51" t="s">
        <v>112</v>
      </c>
      <c r="C1251" s="52" t="s">
        <v>1229</v>
      </c>
      <c r="D1251" s="53"/>
      <c r="E1251" s="214"/>
      <c r="F1251" s="66"/>
      <c r="G1251" s="66"/>
      <c r="H1251" s="66"/>
      <c r="I1251" s="66"/>
      <c r="J1251" s="66"/>
      <c r="K1251" s="66"/>
      <c r="L1251" s="66"/>
      <c r="M1251" s="66"/>
      <c r="N1251" s="67"/>
      <c r="O1251" s="66"/>
      <c r="P1251" s="66"/>
      <c r="Q1251" s="66"/>
      <c r="R1251" s="66"/>
      <c r="S1251" s="66"/>
      <c r="T1251" s="66"/>
      <c r="U1251" s="66"/>
      <c r="V1251" s="66"/>
      <c r="W1251" s="66"/>
      <c r="X1251" s="66"/>
      <c r="Y1251" s="66"/>
      <c r="Z1251" s="66"/>
      <c r="AA1251" s="66"/>
      <c r="AB1251" s="66"/>
      <c r="AC1251" s="66"/>
      <c r="AD1251" s="66"/>
      <c r="AE1251" s="66"/>
      <c r="AF1251" s="66"/>
      <c r="AG1251" s="66"/>
      <c r="AH1251" s="66"/>
      <c r="AI1251" s="66"/>
      <c r="AJ1251" s="66"/>
      <c r="AK1251" s="66"/>
      <c r="AL1251" s="66"/>
      <c r="AM1251" s="66"/>
      <c r="AN1251" s="66"/>
      <c r="AO1251" s="66"/>
      <c r="AP1251" s="66"/>
      <c r="AQ1251" s="66"/>
      <c r="AR1251" s="68"/>
      <c r="AS1251" s="66"/>
      <c r="AT1251" s="66"/>
      <c r="AU1251" s="66"/>
      <c r="AV1251" s="69"/>
      <c r="AW1251" s="69"/>
      <c r="AX1251" s="69"/>
      <c r="AY1251" s="69"/>
      <c r="AZ1251" s="69"/>
      <c r="BA1251" s="69"/>
      <c r="BB1251" s="69"/>
      <c r="BC1251" s="69"/>
      <c r="BD1251" s="69"/>
      <c r="BE1251" s="69"/>
      <c r="BF1251" s="55"/>
      <c r="BG1251" s="70"/>
      <c r="BH1251" s="63">
        <f t="shared" si="55"/>
        <v>0</v>
      </c>
      <c r="BI1251" s="63"/>
      <c r="BJ1251" s="70"/>
      <c r="BK1251" s="203">
        <f t="shared" si="56"/>
        <v>0</v>
      </c>
      <c r="BL1251" s="63"/>
      <c r="BM1251" s="71"/>
      <c r="BN1251" s="71"/>
      <c r="BO1251" s="71"/>
    </row>
    <row r="1252" spans="2:67" ht="18.95" customHeight="1">
      <c r="B1252" s="51" t="s">
        <v>114</v>
      </c>
      <c r="C1252" s="52" t="s">
        <v>1229</v>
      </c>
      <c r="D1252" s="53"/>
      <c r="E1252" s="153"/>
      <c r="F1252" s="66"/>
      <c r="G1252" s="66"/>
      <c r="H1252" s="66"/>
      <c r="I1252" s="66"/>
      <c r="J1252" s="66"/>
      <c r="K1252" s="66"/>
      <c r="L1252" s="66"/>
      <c r="M1252" s="66"/>
      <c r="N1252" s="67"/>
      <c r="O1252" s="66"/>
      <c r="P1252" s="66"/>
      <c r="Q1252" s="66"/>
      <c r="R1252" s="66"/>
      <c r="S1252" s="66"/>
      <c r="T1252" s="66"/>
      <c r="U1252" s="66"/>
      <c r="V1252" s="66"/>
      <c r="W1252" s="66"/>
      <c r="X1252" s="66"/>
      <c r="Y1252" s="66"/>
      <c r="Z1252" s="66"/>
      <c r="AA1252" s="66"/>
      <c r="AB1252" s="66"/>
      <c r="AC1252" s="66"/>
      <c r="AD1252" s="66"/>
      <c r="AE1252" s="66"/>
      <c r="AF1252" s="66"/>
      <c r="AG1252" s="66"/>
      <c r="AH1252" s="66"/>
      <c r="AI1252" s="66"/>
      <c r="AJ1252" s="66"/>
      <c r="AK1252" s="66"/>
      <c r="AL1252" s="66"/>
      <c r="AM1252" s="66"/>
      <c r="AN1252" s="66"/>
      <c r="AO1252" s="66"/>
      <c r="AP1252" s="66"/>
      <c r="AQ1252" s="66"/>
      <c r="AR1252" s="68"/>
      <c r="AS1252" s="66"/>
      <c r="AT1252" s="66"/>
      <c r="AU1252" s="66"/>
      <c r="AV1252" s="69"/>
      <c r="AW1252" s="69"/>
      <c r="AX1252" s="69"/>
      <c r="AY1252" s="69"/>
      <c r="AZ1252" s="69"/>
      <c r="BA1252" s="69"/>
      <c r="BB1252" s="69"/>
      <c r="BC1252" s="69"/>
      <c r="BD1252" s="69"/>
      <c r="BE1252" s="69"/>
      <c r="BF1252" s="55"/>
      <c r="BG1252" s="70"/>
      <c r="BH1252" s="63">
        <f t="shared" si="55"/>
        <v>0</v>
      </c>
      <c r="BI1252" s="63"/>
      <c r="BJ1252" s="70"/>
      <c r="BK1252" s="203">
        <f t="shared" si="56"/>
        <v>0</v>
      </c>
      <c r="BL1252" s="63"/>
      <c r="BM1252" s="71"/>
      <c r="BN1252" s="71"/>
      <c r="BO1252" s="71"/>
    </row>
    <row r="1253" spans="2:67" ht="18.95" customHeight="1">
      <c r="B1253" s="51" t="s">
        <v>116</v>
      </c>
      <c r="C1253" s="52" t="s">
        <v>1229</v>
      </c>
      <c r="D1253" s="53"/>
      <c r="E1253" s="153"/>
      <c r="F1253" s="66"/>
      <c r="G1253" s="66"/>
      <c r="H1253" s="66"/>
      <c r="I1253" s="66"/>
      <c r="J1253" s="66"/>
      <c r="K1253" s="66"/>
      <c r="L1253" s="66"/>
      <c r="M1253" s="66"/>
      <c r="N1253" s="67"/>
      <c r="O1253" s="66"/>
      <c r="P1253" s="66"/>
      <c r="Q1253" s="66"/>
      <c r="R1253" s="66"/>
      <c r="S1253" s="66"/>
      <c r="T1253" s="66"/>
      <c r="U1253" s="66"/>
      <c r="V1253" s="66"/>
      <c r="W1253" s="66"/>
      <c r="X1253" s="66"/>
      <c r="Y1253" s="66"/>
      <c r="Z1253" s="66"/>
      <c r="AA1253" s="66"/>
      <c r="AB1253" s="66"/>
      <c r="AC1253" s="66"/>
      <c r="AD1253" s="66"/>
      <c r="AE1253" s="66"/>
      <c r="AF1253" s="66"/>
      <c r="AG1253" s="66"/>
      <c r="AH1253" s="66"/>
      <c r="AI1253" s="66"/>
      <c r="AJ1253" s="66"/>
      <c r="AK1253" s="66"/>
      <c r="AL1253" s="66"/>
      <c r="AM1253" s="66"/>
      <c r="AN1253" s="66"/>
      <c r="AO1253" s="66"/>
      <c r="AP1253" s="66"/>
      <c r="AQ1253" s="66"/>
      <c r="AR1253" s="68"/>
      <c r="AS1253" s="66"/>
      <c r="AT1253" s="66"/>
      <c r="AU1253" s="66"/>
      <c r="AV1253" s="69"/>
      <c r="AW1253" s="69"/>
      <c r="AX1253" s="69"/>
      <c r="AY1253" s="69"/>
      <c r="AZ1253" s="69"/>
      <c r="BA1253" s="69"/>
      <c r="BB1253" s="69"/>
      <c r="BC1253" s="69"/>
      <c r="BD1253" s="69"/>
      <c r="BE1253" s="69"/>
      <c r="BF1253" s="55"/>
      <c r="BG1253" s="70"/>
      <c r="BH1253" s="63">
        <f t="shared" si="55"/>
        <v>0</v>
      </c>
      <c r="BI1253" s="63"/>
      <c r="BJ1253" s="70"/>
      <c r="BK1253" s="203">
        <f t="shared" si="56"/>
        <v>0</v>
      </c>
      <c r="BL1253" s="63"/>
      <c r="BM1253" s="71"/>
      <c r="BN1253" s="71"/>
      <c r="BO1253" s="71"/>
    </row>
    <row r="1254" spans="2:67" ht="18.95" customHeight="1">
      <c r="B1254" s="51" t="s">
        <v>118</v>
      </c>
      <c r="C1254" s="52" t="s">
        <v>1229</v>
      </c>
      <c r="D1254" s="53"/>
      <c r="E1254" s="153"/>
      <c r="F1254" s="66"/>
      <c r="G1254" s="66"/>
      <c r="H1254" s="66"/>
      <c r="I1254" s="66"/>
      <c r="J1254" s="66"/>
      <c r="K1254" s="66"/>
      <c r="L1254" s="66"/>
      <c r="M1254" s="66"/>
      <c r="N1254" s="67"/>
      <c r="O1254" s="66"/>
      <c r="P1254" s="66"/>
      <c r="Q1254" s="66"/>
      <c r="R1254" s="66"/>
      <c r="S1254" s="66"/>
      <c r="T1254" s="66"/>
      <c r="U1254" s="66"/>
      <c r="V1254" s="66"/>
      <c r="W1254" s="66"/>
      <c r="X1254" s="66"/>
      <c r="Y1254" s="66"/>
      <c r="Z1254" s="66"/>
      <c r="AA1254" s="66"/>
      <c r="AB1254" s="66"/>
      <c r="AC1254" s="66"/>
      <c r="AD1254" s="66"/>
      <c r="AE1254" s="66"/>
      <c r="AF1254" s="66"/>
      <c r="AG1254" s="66"/>
      <c r="AH1254" s="66"/>
      <c r="AI1254" s="66"/>
      <c r="AJ1254" s="66"/>
      <c r="AK1254" s="66"/>
      <c r="AL1254" s="66"/>
      <c r="AM1254" s="66"/>
      <c r="AN1254" s="66"/>
      <c r="AO1254" s="66"/>
      <c r="AP1254" s="66"/>
      <c r="AQ1254" s="66"/>
      <c r="AR1254" s="68"/>
      <c r="AS1254" s="66"/>
      <c r="AT1254" s="66"/>
      <c r="AU1254" s="66"/>
      <c r="AV1254" s="69"/>
      <c r="AW1254" s="69"/>
      <c r="AX1254" s="69"/>
      <c r="AY1254" s="69"/>
      <c r="AZ1254" s="69"/>
      <c r="BA1254" s="69"/>
      <c r="BB1254" s="69"/>
      <c r="BC1254" s="69"/>
      <c r="BD1254" s="69"/>
      <c r="BE1254" s="69"/>
      <c r="BF1254" s="55"/>
      <c r="BG1254" s="70"/>
      <c r="BH1254" s="63">
        <f t="shared" si="55"/>
        <v>0</v>
      </c>
      <c r="BI1254" s="63"/>
      <c r="BJ1254" s="70"/>
      <c r="BK1254" s="203">
        <f t="shared" si="56"/>
        <v>0</v>
      </c>
      <c r="BL1254" s="63"/>
      <c r="BM1254" s="71"/>
      <c r="BN1254" s="71"/>
      <c r="BO1254" s="71"/>
    </row>
    <row r="1255" spans="2:67" ht="18.95" customHeight="1">
      <c r="B1255" s="51" t="s">
        <v>120</v>
      </c>
      <c r="C1255" s="52" t="s">
        <v>1229</v>
      </c>
      <c r="D1255" s="53"/>
      <c r="E1255" s="153"/>
      <c r="F1255" s="66"/>
      <c r="G1255" s="66"/>
      <c r="H1255" s="66"/>
      <c r="I1255" s="66"/>
      <c r="J1255" s="66"/>
      <c r="K1255" s="66"/>
      <c r="L1255" s="66"/>
      <c r="M1255" s="66"/>
      <c r="N1255" s="67"/>
      <c r="O1255" s="66"/>
      <c r="P1255" s="66"/>
      <c r="Q1255" s="66"/>
      <c r="R1255" s="66"/>
      <c r="S1255" s="66"/>
      <c r="T1255" s="66"/>
      <c r="U1255" s="66"/>
      <c r="V1255" s="66"/>
      <c r="W1255" s="66"/>
      <c r="X1255" s="66"/>
      <c r="Y1255" s="66"/>
      <c r="Z1255" s="66"/>
      <c r="AA1255" s="66"/>
      <c r="AB1255" s="66"/>
      <c r="AC1255" s="66"/>
      <c r="AD1255" s="66"/>
      <c r="AE1255" s="66"/>
      <c r="AF1255" s="66"/>
      <c r="AG1255" s="66"/>
      <c r="AH1255" s="66"/>
      <c r="AI1255" s="66"/>
      <c r="AJ1255" s="66"/>
      <c r="AK1255" s="66"/>
      <c r="AL1255" s="66"/>
      <c r="AM1255" s="66"/>
      <c r="AN1255" s="66"/>
      <c r="AO1255" s="66"/>
      <c r="AP1255" s="66"/>
      <c r="AQ1255" s="66"/>
      <c r="AR1255" s="68"/>
      <c r="AS1255" s="66"/>
      <c r="AT1255" s="66"/>
      <c r="AU1255" s="66"/>
      <c r="AV1255" s="69"/>
      <c r="AW1255" s="69"/>
      <c r="AX1255" s="69"/>
      <c r="AY1255" s="69"/>
      <c r="AZ1255" s="69"/>
      <c r="BA1255" s="69"/>
      <c r="BB1255" s="69"/>
      <c r="BC1255" s="69"/>
      <c r="BD1255" s="69"/>
      <c r="BE1255" s="69"/>
      <c r="BF1255" s="55"/>
      <c r="BG1255" s="70"/>
      <c r="BH1255" s="63">
        <f t="shared" si="55"/>
        <v>0</v>
      </c>
      <c r="BI1255" s="63"/>
      <c r="BJ1255" s="70"/>
      <c r="BK1255" s="203">
        <f t="shared" si="56"/>
        <v>0</v>
      </c>
      <c r="BL1255" s="63"/>
      <c r="BM1255" s="71"/>
      <c r="BN1255" s="71"/>
      <c r="BO1255" s="71"/>
    </row>
    <row r="1256" spans="2:67" ht="18.95" customHeight="1">
      <c r="B1256" s="51" t="s">
        <v>122</v>
      </c>
      <c r="C1256" s="52" t="s">
        <v>1229</v>
      </c>
      <c r="D1256" s="53"/>
      <c r="E1256" s="153"/>
      <c r="F1256" s="66"/>
      <c r="G1256" s="66"/>
      <c r="H1256" s="66"/>
      <c r="I1256" s="66"/>
      <c r="J1256" s="66"/>
      <c r="K1256" s="66"/>
      <c r="L1256" s="66"/>
      <c r="M1256" s="66"/>
      <c r="N1256" s="67"/>
      <c r="O1256" s="66"/>
      <c r="P1256" s="66"/>
      <c r="Q1256" s="66"/>
      <c r="R1256" s="66"/>
      <c r="S1256" s="66"/>
      <c r="T1256" s="66"/>
      <c r="U1256" s="66"/>
      <c r="V1256" s="66"/>
      <c r="W1256" s="66"/>
      <c r="X1256" s="66"/>
      <c r="Y1256" s="66"/>
      <c r="Z1256" s="66"/>
      <c r="AA1256" s="66"/>
      <c r="AB1256" s="66"/>
      <c r="AC1256" s="66"/>
      <c r="AD1256" s="66"/>
      <c r="AE1256" s="66"/>
      <c r="AF1256" s="66"/>
      <c r="AG1256" s="66"/>
      <c r="AH1256" s="66"/>
      <c r="AI1256" s="66"/>
      <c r="AJ1256" s="66"/>
      <c r="AK1256" s="66"/>
      <c r="AL1256" s="75"/>
      <c r="AM1256" s="66"/>
      <c r="AN1256" s="66"/>
      <c r="AO1256" s="66"/>
      <c r="AP1256" s="66"/>
      <c r="AQ1256" s="66"/>
      <c r="AR1256" s="68"/>
      <c r="AS1256" s="66"/>
      <c r="AT1256" s="66"/>
      <c r="AU1256" s="66"/>
      <c r="AV1256" s="69"/>
      <c r="AW1256" s="69"/>
      <c r="AX1256" s="69"/>
      <c r="AY1256" s="69"/>
      <c r="AZ1256" s="69"/>
      <c r="BA1256" s="69"/>
      <c r="BB1256" s="69"/>
      <c r="BC1256" s="69"/>
      <c r="BD1256" s="69"/>
      <c r="BE1256" s="69"/>
      <c r="BF1256" s="55"/>
      <c r="BG1256" s="70"/>
      <c r="BH1256" s="63">
        <f t="shared" si="55"/>
        <v>0</v>
      </c>
      <c r="BI1256" s="63"/>
      <c r="BJ1256" s="70"/>
      <c r="BK1256" s="203">
        <f t="shared" si="56"/>
        <v>0</v>
      </c>
      <c r="BL1256" s="63"/>
      <c r="BM1256" s="71"/>
      <c r="BN1256" s="71"/>
      <c r="BO1256" s="71"/>
    </row>
    <row r="1257" spans="2:67" ht="18.95" customHeight="1">
      <c r="B1257" s="51" t="s">
        <v>124</v>
      </c>
      <c r="C1257" s="52" t="s">
        <v>1229</v>
      </c>
      <c r="D1257" s="53"/>
      <c r="E1257" s="153"/>
      <c r="F1257" s="66"/>
      <c r="G1257" s="66"/>
      <c r="H1257" s="66"/>
      <c r="I1257" s="66"/>
      <c r="J1257" s="66"/>
      <c r="K1257" s="66"/>
      <c r="L1257" s="66"/>
      <c r="M1257" s="66"/>
      <c r="N1257" s="67"/>
      <c r="O1257" s="66"/>
      <c r="P1257" s="66"/>
      <c r="Q1257" s="66"/>
      <c r="R1257" s="66"/>
      <c r="S1257" s="66"/>
      <c r="T1257" s="66"/>
      <c r="U1257" s="66"/>
      <c r="V1257" s="66"/>
      <c r="W1257" s="66"/>
      <c r="X1257" s="66"/>
      <c r="Y1257" s="66"/>
      <c r="Z1257" s="66"/>
      <c r="AA1257" s="66"/>
      <c r="AB1257" s="66"/>
      <c r="AC1257" s="66"/>
      <c r="AD1257" s="66"/>
      <c r="AE1257" s="66"/>
      <c r="AF1257" s="66"/>
      <c r="AG1257" s="66"/>
      <c r="AH1257" s="66"/>
      <c r="AI1257" s="66"/>
      <c r="AJ1257" s="66"/>
      <c r="AK1257" s="66"/>
      <c r="AL1257" s="75"/>
      <c r="AM1257" s="66"/>
      <c r="AN1257" s="66"/>
      <c r="AO1257" s="66"/>
      <c r="AP1257" s="66"/>
      <c r="AQ1257" s="66"/>
      <c r="AR1257" s="68"/>
      <c r="AS1257" s="66"/>
      <c r="AT1257" s="66"/>
      <c r="AU1257" s="66"/>
      <c r="AV1257" s="69"/>
      <c r="AW1257" s="69"/>
      <c r="AX1257" s="69"/>
      <c r="AY1257" s="69"/>
      <c r="AZ1257" s="69"/>
      <c r="BA1257" s="69"/>
      <c r="BB1257" s="69"/>
      <c r="BC1257" s="69"/>
      <c r="BD1257" s="69"/>
      <c r="BE1257" s="69"/>
      <c r="BF1257" s="55"/>
      <c r="BG1257" s="70"/>
      <c r="BH1257" s="63">
        <f t="shared" si="55"/>
        <v>0</v>
      </c>
      <c r="BI1257" s="63"/>
      <c r="BJ1257" s="70"/>
      <c r="BK1257" s="203">
        <f t="shared" si="56"/>
        <v>0</v>
      </c>
      <c r="BL1257" s="63"/>
      <c r="BM1257" s="71"/>
      <c r="BN1257" s="71"/>
      <c r="BO1257" s="71"/>
    </row>
    <row r="1258" spans="2:67" ht="18.95" customHeight="1">
      <c r="B1258" s="51" t="s">
        <v>126</v>
      </c>
      <c r="C1258" s="52" t="s">
        <v>1229</v>
      </c>
      <c r="D1258" s="53"/>
      <c r="E1258" s="153"/>
      <c r="F1258" s="66"/>
      <c r="G1258" s="66"/>
      <c r="H1258" s="66"/>
      <c r="I1258" s="66"/>
      <c r="J1258" s="66"/>
      <c r="K1258" s="66"/>
      <c r="L1258" s="66"/>
      <c r="M1258" s="66"/>
      <c r="N1258" s="67"/>
      <c r="O1258" s="66"/>
      <c r="P1258" s="66"/>
      <c r="Q1258" s="66"/>
      <c r="R1258" s="66"/>
      <c r="S1258" s="66"/>
      <c r="T1258" s="66"/>
      <c r="U1258" s="66"/>
      <c r="V1258" s="66"/>
      <c r="W1258" s="66"/>
      <c r="X1258" s="66"/>
      <c r="Y1258" s="66"/>
      <c r="Z1258" s="66"/>
      <c r="AA1258" s="66"/>
      <c r="AB1258" s="66"/>
      <c r="AC1258" s="66"/>
      <c r="AD1258" s="66"/>
      <c r="AE1258" s="66"/>
      <c r="AF1258" s="66"/>
      <c r="AG1258" s="66"/>
      <c r="AH1258" s="66"/>
      <c r="AI1258" s="66"/>
      <c r="AJ1258" s="66"/>
      <c r="AK1258" s="66"/>
      <c r="AL1258" s="66"/>
      <c r="AM1258" s="66"/>
      <c r="AN1258" s="66"/>
      <c r="AO1258" s="66"/>
      <c r="AP1258" s="66"/>
      <c r="AQ1258" s="66"/>
      <c r="AR1258" s="68"/>
      <c r="AS1258" s="66"/>
      <c r="AT1258" s="66"/>
      <c r="AU1258" s="66"/>
      <c r="AV1258" s="69"/>
      <c r="AW1258" s="69"/>
      <c r="AX1258" s="69"/>
      <c r="AY1258" s="69"/>
      <c r="AZ1258" s="69"/>
      <c r="BA1258" s="69"/>
      <c r="BB1258" s="69"/>
      <c r="BC1258" s="69"/>
      <c r="BD1258" s="69"/>
      <c r="BE1258" s="69"/>
      <c r="BF1258" s="55"/>
      <c r="BG1258" s="70"/>
      <c r="BH1258" s="63">
        <f t="shared" si="55"/>
        <v>0</v>
      </c>
      <c r="BI1258" s="63"/>
      <c r="BJ1258" s="70"/>
      <c r="BK1258" s="203">
        <f t="shared" si="56"/>
        <v>0</v>
      </c>
      <c r="BL1258" s="63"/>
      <c r="BM1258" s="71"/>
      <c r="BN1258" s="65"/>
      <c r="BO1258" s="65"/>
    </row>
    <row r="1259" spans="2:67" ht="18.95" customHeight="1">
      <c r="B1259" s="51" t="s">
        <v>128</v>
      </c>
      <c r="C1259" s="52" t="s">
        <v>1229</v>
      </c>
      <c r="D1259" s="53"/>
      <c r="E1259" s="153"/>
      <c r="F1259" s="55"/>
      <c r="G1259" s="66"/>
      <c r="H1259" s="66"/>
      <c r="I1259" s="66"/>
      <c r="J1259" s="66"/>
      <c r="K1259" s="66"/>
      <c r="L1259" s="66"/>
      <c r="M1259" s="66"/>
      <c r="N1259" s="67"/>
      <c r="O1259" s="66"/>
      <c r="P1259" s="66"/>
      <c r="Q1259" s="66"/>
      <c r="R1259" s="66"/>
      <c r="S1259" s="66"/>
      <c r="T1259" s="66"/>
      <c r="U1259" s="66"/>
      <c r="V1259" s="66"/>
      <c r="W1259" s="66"/>
      <c r="X1259" s="66"/>
      <c r="Y1259" s="66"/>
      <c r="Z1259" s="66"/>
      <c r="AA1259" s="66"/>
      <c r="AB1259" s="66"/>
      <c r="AC1259" s="66"/>
      <c r="AD1259" s="66"/>
      <c r="AE1259" s="66"/>
      <c r="AF1259" s="66"/>
      <c r="AG1259" s="66"/>
      <c r="AH1259" s="66"/>
      <c r="AI1259" s="66"/>
      <c r="AJ1259" s="66"/>
      <c r="AK1259" s="66"/>
      <c r="AL1259" s="75"/>
      <c r="AM1259" s="66"/>
      <c r="AN1259" s="66"/>
      <c r="AO1259" s="66"/>
      <c r="AP1259" s="66"/>
      <c r="AQ1259" s="66"/>
      <c r="AR1259" s="68"/>
      <c r="AS1259" s="66"/>
      <c r="AT1259" s="66"/>
      <c r="AU1259" s="66"/>
      <c r="AV1259" s="69"/>
      <c r="AW1259" s="69"/>
      <c r="AX1259" s="69"/>
      <c r="AY1259" s="69"/>
      <c r="AZ1259" s="69"/>
      <c r="BA1259" s="69"/>
      <c r="BB1259" s="69"/>
      <c r="BC1259" s="69"/>
      <c r="BD1259" s="69"/>
      <c r="BE1259" s="69"/>
      <c r="BF1259" s="55"/>
      <c r="BG1259" s="70"/>
      <c r="BH1259" s="63">
        <f t="shared" si="55"/>
        <v>0</v>
      </c>
      <c r="BI1259" s="63"/>
      <c r="BJ1259" s="70"/>
      <c r="BK1259" s="203">
        <f t="shared" si="56"/>
        <v>0</v>
      </c>
      <c r="BL1259" s="63"/>
      <c r="BM1259" s="71"/>
      <c r="BN1259" s="65"/>
      <c r="BO1259" s="65"/>
    </row>
    <row r="1260" spans="2:67" ht="18.95" customHeight="1">
      <c r="B1260" s="51" t="s">
        <v>130</v>
      </c>
      <c r="C1260" s="52" t="s">
        <v>1229</v>
      </c>
      <c r="D1260" s="53"/>
      <c r="E1260" s="153"/>
      <c r="F1260" s="66"/>
      <c r="G1260" s="66"/>
      <c r="H1260" s="66"/>
      <c r="I1260" s="66"/>
      <c r="J1260" s="66"/>
      <c r="K1260" s="66"/>
      <c r="L1260" s="66"/>
      <c r="M1260" s="66"/>
      <c r="N1260" s="67"/>
      <c r="O1260" s="66"/>
      <c r="P1260" s="66"/>
      <c r="Q1260" s="66"/>
      <c r="R1260" s="66"/>
      <c r="S1260" s="66"/>
      <c r="T1260" s="66"/>
      <c r="U1260" s="66"/>
      <c r="V1260" s="66"/>
      <c r="W1260" s="66"/>
      <c r="X1260" s="66"/>
      <c r="Y1260" s="66"/>
      <c r="Z1260" s="66"/>
      <c r="AA1260" s="66"/>
      <c r="AB1260" s="66"/>
      <c r="AC1260" s="66"/>
      <c r="AD1260" s="66"/>
      <c r="AE1260" s="66"/>
      <c r="AF1260" s="66"/>
      <c r="AG1260" s="66"/>
      <c r="AH1260" s="66"/>
      <c r="AI1260" s="66"/>
      <c r="AJ1260" s="66"/>
      <c r="AK1260" s="66"/>
      <c r="AL1260" s="66"/>
      <c r="AM1260" s="66"/>
      <c r="AN1260" s="66"/>
      <c r="AO1260" s="66"/>
      <c r="AP1260" s="66"/>
      <c r="AQ1260" s="66"/>
      <c r="AR1260" s="68"/>
      <c r="AS1260" s="66"/>
      <c r="AT1260" s="66"/>
      <c r="AU1260" s="66"/>
      <c r="AV1260" s="69"/>
      <c r="AW1260" s="69"/>
      <c r="AX1260" s="69"/>
      <c r="AY1260" s="69"/>
      <c r="AZ1260" s="69"/>
      <c r="BA1260" s="69"/>
      <c r="BB1260" s="69"/>
      <c r="BC1260" s="69"/>
      <c r="BD1260" s="69"/>
      <c r="BE1260" s="69"/>
      <c r="BF1260" s="55"/>
      <c r="BG1260" s="70"/>
      <c r="BH1260" s="63">
        <f t="shared" si="55"/>
        <v>0</v>
      </c>
      <c r="BI1260" s="63"/>
      <c r="BJ1260" s="70"/>
      <c r="BK1260" s="203">
        <f t="shared" si="56"/>
        <v>0</v>
      </c>
      <c r="BL1260" s="63"/>
      <c r="BM1260" s="71"/>
      <c r="BN1260" s="71"/>
      <c r="BO1260" s="71"/>
    </row>
    <row r="1261" spans="2:67" ht="18.95" customHeight="1">
      <c r="B1261" s="51" t="s">
        <v>132</v>
      </c>
      <c r="C1261" s="52" t="s">
        <v>1229</v>
      </c>
      <c r="D1261" s="53"/>
      <c r="E1261" s="217"/>
      <c r="F1261" s="55"/>
      <c r="G1261" s="55"/>
      <c r="H1261" s="55"/>
      <c r="I1261" s="55"/>
      <c r="J1261" s="55"/>
      <c r="K1261" s="55"/>
      <c r="L1261" s="55"/>
      <c r="M1261" s="55"/>
      <c r="N1261" s="56"/>
      <c r="O1261" s="55"/>
      <c r="P1261" s="55"/>
      <c r="Q1261" s="55"/>
      <c r="R1261" s="55"/>
      <c r="S1261" s="55"/>
      <c r="T1261" s="55"/>
      <c r="U1261" s="55"/>
      <c r="V1261" s="55"/>
      <c r="W1261" s="55"/>
      <c r="X1261" s="55"/>
      <c r="Y1261" s="55"/>
      <c r="Z1261" s="55"/>
      <c r="AA1261" s="55"/>
      <c r="AB1261" s="55"/>
      <c r="AC1261" s="55"/>
      <c r="AD1261" s="55"/>
      <c r="AE1261" s="55"/>
      <c r="AF1261" s="55"/>
      <c r="AG1261" s="55"/>
      <c r="AH1261" s="55"/>
      <c r="AI1261" s="55"/>
      <c r="AJ1261" s="55"/>
      <c r="AK1261" s="55"/>
      <c r="AL1261" s="55"/>
      <c r="AM1261" s="55"/>
      <c r="AN1261" s="55"/>
      <c r="AO1261" s="55"/>
      <c r="AP1261" s="55"/>
      <c r="AQ1261" s="55"/>
      <c r="AR1261" s="76"/>
      <c r="AS1261" s="55"/>
      <c r="AT1261" s="55"/>
      <c r="AU1261" s="55"/>
      <c r="AV1261" s="55"/>
      <c r="AW1261" s="55"/>
      <c r="AX1261" s="55"/>
      <c r="AY1261" s="55"/>
      <c r="AZ1261" s="55"/>
      <c r="BA1261" s="55"/>
      <c r="BB1261" s="55"/>
      <c r="BC1261" s="55"/>
      <c r="BD1261" s="55"/>
      <c r="BE1261" s="55"/>
      <c r="BF1261" s="55"/>
      <c r="BG1261" s="70"/>
      <c r="BH1261" s="63">
        <f t="shared" si="55"/>
        <v>0</v>
      </c>
      <c r="BI1261" s="63"/>
      <c r="BJ1261" s="70"/>
      <c r="BK1261" s="203">
        <f t="shared" si="56"/>
        <v>0</v>
      </c>
      <c r="BL1261" s="63"/>
      <c r="BM1261" s="71"/>
      <c r="BN1261" s="65"/>
      <c r="BO1261" s="65"/>
    </row>
    <row r="1274" spans="2:67">
      <c r="B1274" s="2" t="s">
        <v>1</v>
      </c>
      <c r="C1274" s="2"/>
      <c r="D1274" s="2"/>
      <c r="E1274" s="2"/>
      <c r="F1274" s="3"/>
      <c r="G1274" s="4"/>
      <c r="H1274" s="4"/>
      <c r="I1274" s="4"/>
      <c r="J1274" s="4"/>
      <c r="K1274" s="4"/>
      <c r="L1274" s="4"/>
      <c r="M1274" s="4"/>
      <c r="N1274" s="107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5"/>
      <c r="AE1274" s="5"/>
      <c r="AF1274" s="5"/>
      <c r="AG1274" s="5"/>
      <c r="AH1274" s="5"/>
      <c r="AI1274" s="5"/>
      <c r="AJ1274" s="5"/>
      <c r="AK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7"/>
      <c r="BI1274" s="7"/>
      <c r="BJ1274" s="5"/>
      <c r="BK1274" s="5"/>
      <c r="BM1274" s="5"/>
      <c r="BN1274" s="5"/>
      <c r="BO1274" s="5"/>
    </row>
    <row r="1275" spans="2:67" ht="18.75">
      <c r="B1275" s="2"/>
      <c r="C1275" s="2"/>
      <c r="D1275" s="2"/>
      <c r="E1275" s="2"/>
      <c r="F1275" s="139" t="s">
        <v>0</v>
      </c>
      <c r="G1275" s="139"/>
      <c r="H1275" s="139"/>
      <c r="I1275" s="139"/>
      <c r="J1275" s="139"/>
      <c r="K1275" s="139"/>
      <c r="L1275" s="139"/>
      <c r="M1275" s="139"/>
      <c r="N1275" s="139"/>
      <c r="O1275" s="139"/>
      <c r="P1275" s="139"/>
      <c r="Q1275" s="139"/>
      <c r="R1275" s="139"/>
      <c r="S1275" s="139"/>
      <c r="T1275" s="139"/>
      <c r="U1275" s="139"/>
      <c r="V1275" s="139"/>
      <c r="W1275" s="139"/>
      <c r="X1275" s="139"/>
      <c r="Y1275" s="140"/>
      <c r="Z1275" s="140"/>
      <c r="AA1275" s="140"/>
      <c r="AB1275" s="140"/>
      <c r="AC1275" s="140"/>
      <c r="AD1275" s="140"/>
      <c r="AE1275" s="141"/>
      <c r="AF1275" s="8"/>
      <c r="AG1275" s="8"/>
      <c r="AH1275" s="8"/>
      <c r="AI1275" s="8"/>
      <c r="AJ1275" s="8"/>
      <c r="AK1275" s="8"/>
      <c r="AL1275" s="142"/>
      <c r="AM1275" s="8"/>
      <c r="AN1275" s="8"/>
      <c r="AO1275" s="8"/>
      <c r="AP1275" s="8"/>
      <c r="AQ1275" s="8"/>
      <c r="AR1275" s="143"/>
      <c r="AS1275" s="8"/>
      <c r="AT1275" s="8"/>
      <c r="AU1275" s="8"/>
      <c r="AV1275" s="8"/>
      <c r="AW1275" s="8"/>
      <c r="AX1275" s="8"/>
      <c r="AY1275" s="8"/>
      <c r="AZ1275" s="8"/>
      <c r="BA1275" s="8"/>
      <c r="BB1275" s="8"/>
      <c r="BC1275" s="8"/>
      <c r="BD1275" s="8"/>
      <c r="BE1275" s="8"/>
      <c r="BF1275" s="9" t="s">
        <v>1232</v>
      </c>
      <c r="BG1275" s="10"/>
      <c r="BH1275" s="10"/>
      <c r="BI1275" s="10"/>
      <c r="BJ1275" s="10"/>
      <c r="BK1275" s="10"/>
      <c r="BL1275" s="10"/>
      <c r="BM1275" s="10"/>
      <c r="BN1275" s="10"/>
      <c r="BO1275" s="11"/>
    </row>
    <row r="1276" spans="2:67">
      <c r="B1276" s="12"/>
      <c r="C1276" s="12"/>
      <c r="D1276" s="12"/>
      <c r="E1276" s="12"/>
      <c r="F1276" s="13"/>
      <c r="G1276" s="14" t="s">
        <v>1233</v>
      </c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6"/>
      <c r="AM1276" s="15"/>
      <c r="AN1276" s="15"/>
      <c r="AO1276" s="15"/>
      <c r="AP1276" s="15"/>
      <c r="AQ1276" s="15"/>
      <c r="AR1276" s="17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8"/>
      <c r="BM1276" s="15"/>
      <c r="BN1276" s="15"/>
      <c r="BO1276" s="15"/>
    </row>
    <row r="1277" spans="2:67" ht="15">
      <c r="B1277" s="19" t="s">
        <v>4</v>
      </c>
      <c r="C1277" s="20" t="s">
        <v>5</v>
      </c>
      <c r="D1277" s="20"/>
      <c r="E1277" s="205" t="s">
        <v>6</v>
      </c>
      <c r="F1277" s="110" t="s">
        <v>135</v>
      </c>
      <c r="G1277" s="111"/>
      <c r="H1277" s="111"/>
      <c r="I1277" s="111"/>
      <c r="J1277" s="111"/>
      <c r="K1277" s="111"/>
      <c r="L1277" s="111"/>
      <c r="M1277" s="111"/>
      <c r="N1277" s="111"/>
      <c r="O1277" s="111"/>
      <c r="P1277" s="111"/>
      <c r="Q1277" s="111"/>
      <c r="R1277" s="111"/>
      <c r="S1277" s="111"/>
      <c r="T1277" s="111"/>
      <c r="U1277" s="111"/>
      <c r="V1277" s="111"/>
      <c r="W1277" s="111"/>
      <c r="X1277" s="111"/>
      <c r="Y1277" s="111"/>
      <c r="Z1277" s="111"/>
      <c r="AA1277" s="111"/>
      <c r="AB1277" s="111"/>
      <c r="AC1277" s="111"/>
      <c r="AD1277" s="111"/>
      <c r="AE1277" s="111"/>
      <c r="AF1277" s="111"/>
      <c r="AG1277" s="111"/>
      <c r="AH1277" s="111"/>
      <c r="AI1277" s="111"/>
      <c r="AJ1277" s="111"/>
      <c r="AK1277" s="111"/>
      <c r="AL1277" s="111"/>
      <c r="AM1277" s="111"/>
      <c r="AN1277" s="111"/>
      <c r="AO1277" s="111"/>
      <c r="AP1277" s="111"/>
      <c r="AQ1277" s="111"/>
      <c r="AR1277" s="111"/>
      <c r="AS1277" s="111"/>
      <c r="AT1277" s="111"/>
      <c r="AU1277" s="111"/>
      <c r="AV1277" s="111"/>
      <c r="AW1277" s="111"/>
      <c r="AX1277" s="111"/>
      <c r="AY1277" s="111"/>
      <c r="AZ1277" s="111"/>
      <c r="BA1277" s="111"/>
      <c r="BB1277" s="111"/>
      <c r="BC1277" s="111"/>
      <c r="BD1277" s="111"/>
      <c r="BE1277" s="111"/>
      <c r="BF1277" s="24" t="s">
        <v>8</v>
      </c>
      <c r="BG1277" s="25"/>
      <c r="BH1277" s="25"/>
      <c r="BI1277" s="26"/>
      <c r="BJ1277" s="31" t="s">
        <v>9</v>
      </c>
      <c r="BK1277" s="32"/>
      <c r="BL1277" s="29"/>
      <c r="BM1277" s="30"/>
      <c r="BN1277" s="31" t="s">
        <v>10</v>
      </c>
      <c r="BO1277" s="32"/>
    </row>
    <row r="1278" spans="2:67" ht="110.1" customHeight="1">
      <c r="B1278" s="33"/>
      <c r="C1278" s="34" t="s">
        <v>11</v>
      </c>
      <c r="D1278" s="35" t="s">
        <v>4</v>
      </c>
      <c r="E1278" s="35" t="s">
        <v>12</v>
      </c>
      <c r="F1278" s="36" t="s">
        <v>13</v>
      </c>
      <c r="G1278" s="36" t="s">
        <v>14</v>
      </c>
      <c r="H1278" s="36" t="s">
        <v>15</v>
      </c>
      <c r="I1278" s="36" t="s">
        <v>16</v>
      </c>
      <c r="J1278" s="36" t="s">
        <v>17</v>
      </c>
      <c r="K1278" s="36" t="s">
        <v>18</v>
      </c>
      <c r="L1278" s="36" t="s">
        <v>19</v>
      </c>
      <c r="M1278" s="36" t="s">
        <v>20</v>
      </c>
      <c r="N1278" s="37" t="s">
        <v>21</v>
      </c>
      <c r="O1278" s="36" t="s">
        <v>22</v>
      </c>
      <c r="P1278" s="36" t="s">
        <v>23</v>
      </c>
      <c r="Q1278" s="36" t="s">
        <v>24</v>
      </c>
      <c r="R1278" s="36" t="s">
        <v>25</v>
      </c>
      <c r="S1278" s="36" t="s">
        <v>26</v>
      </c>
      <c r="T1278" s="36" t="s">
        <v>27</v>
      </c>
      <c r="U1278" s="36" t="s">
        <v>28</v>
      </c>
      <c r="V1278" s="36" t="s">
        <v>29</v>
      </c>
      <c r="W1278" s="36" t="s">
        <v>30</v>
      </c>
      <c r="X1278" s="38" t="s">
        <v>31</v>
      </c>
      <c r="Y1278" s="36" t="s">
        <v>32</v>
      </c>
      <c r="Z1278" s="36" t="s">
        <v>33</v>
      </c>
      <c r="AA1278" s="36" t="s">
        <v>34</v>
      </c>
      <c r="AB1278" s="38" t="s">
        <v>35</v>
      </c>
      <c r="AC1278" s="36" t="s">
        <v>36</v>
      </c>
      <c r="AD1278" s="39" t="s">
        <v>37</v>
      </c>
      <c r="AE1278" s="36" t="s">
        <v>38</v>
      </c>
      <c r="AF1278" s="40" t="s">
        <v>39</v>
      </c>
      <c r="AG1278" s="40" t="s">
        <v>40</v>
      </c>
      <c r="AH1278" s="40" t="s">
        <v>41</v>
      </c>
      <c r="AI1278" s="40" t="s">
        <v>42</v>
      </c>
      <c r="AJ1278" s="40" t="s">
        <v>43</v>
      </c>
      <c r="AK1278" s="40" t="s">
        <v>44</v>
      </c>
      <c r="AL1278" s="41" t="s">
        <v>45</v>
      </c>
      <c r="AM1278" s="42" t="s">
        <v>46</v>
      </c>
      <c r="AN1278" s="43" t="s">
        <v>47</v>
      </c>
      <c r="AO1278" s="40" t="s">
        <v>48</v>
      </c>
      <c r="AP1278" s="40" t="s">
        <v>49</v>
      </c>
      <c r="AQ1278" s="40" t="s">
        <v>50</v>
      </c>
      <c r="AR1278" s="44" t="s">
        <v>136</v>
      </c>
      <c r="AS1278" s="36" t="s">
        <v>52</v>
      </c>
      <c r="AT1278" s="36" t="s">
        <v>53</v>
      </c>
      <c r="AU1278" s="36" t="s">
        <v>54</v>
      </c>
      <c r="AV1278" s="36" t="s">
        <v>55</v>
      </c>
      <c r="AW1278" s="36" t="s">
        <v>56</v>
      </c>
      <c r="AX1278" s="36" t="s">
        <v>203</v>
      </c>
      <c r="AY1278" s="36" t="s">
        <v>58</v>
      </c>
      <c r="AZ1278" s="38" t="s">
        <v>59</v>
      </c>
      <c r="BA1278" s="36" t="s">
        <v>60</v>
      </c>
      <c r="BB1278" s="36" t="s">
        <v>61</v>
      </c>
      <c r="BC1278" s="39" t="s">
        <v>62</v>
      </c>
      <c r="BD1278" s="36" t="s">
        <v>63</v>
      </c>
      <c r="BE1278" s="36" t="s">
        <v>64</v>
      </c>
      <c r="BF1278" s="45" t="s">
        <v>65</v>
      </c>
      <c r="BG1278" s="45" t="s">
        <v>66</v>
      </c>
      <c r="BH1278" s="45" t="s">
        <v>67</v>
      </c>
      <c r="BI1278" s="45" t="s">
        <v>68</v>
      </c>
      <c r="BJ1278" s="46" t="s">
        <v>69</v>
      </c>
      <c r="BK1278" s="46" t="s">
        <v>70</v>
      </c>
      <c r="BL1278" s="47" t="s">
        <v>71</v>
      </c>
      <c r="BM1278" s="48" t="s">
        <v>72</v>
      </c>
      <c r="BN1278" s="49" t="s">
        <v>69</v>
      </c>
      <c r="BO1278" s="50" t="s">
        <v>70</v>
      </c>
    </row>
    <row r="1279" spans="2:67" ht="18.75" customHeight="1">
      <c r="B1279" s="51" t="s">
        <v>73</v>
      </c>
      <c r="C1279" s="52" t="s">
        <v>1234</v>
      </c>
      <c r="D1279" s="53" t="s">
        <v>73</v>
      </c>
      <c r="E1279" s="218" t="s">
        <v>1235</v>
      </c>
      <c r="F1279" s="55"/>
      <c r="G1279" s="55"/>
      <c r="H1279" s="55"/>
      <c r="I1279" s="55"/>
      <c r="J1279" s="55"/>
      <c r="K1279" s="55"/>
      <c r="L1279" s="55"/>
      <c r="M1279" s="55"/>
      <c r="N1279" s="56"/>
      <c r="O1279" s="55"/>
      <c r="P1279" s="55"/>
      <c r="Q1279" s="57"/>
      <c r="R1279" s="55">
        <v>13</v>
      </c>
      <c r="S1279" s="58"/>
      <c r="T1279" s="58"/>
      <c r="U1279" s="55"/>
      <c r="V1279" s="55"/>
      <c r="W1279" s="55"/>
      <c r="X1279" s="55"/>
      <c r="Y1279" s="55"/>
      <c r="Z1279" s="55"/>
      <c r="AA1279" s="55"/>
      <c r="AB1279" s="55"/>
      <c r="AC1279" s="55"/>
      <c r="AD1279" s="55"/>
      <c r="AE1279" s="57"/>
      <c r="AF1279" s="57"/>
      <c r="AG1279" s="57"/>
      <c r="AH1279" s="57"/>
      <c r="AI1279" s="57"/>
      <c r="AJ1279" s="57"/>
      <c r="AK1279" s="57"/>
      <c r="AL1279" s="59"/>
      <c r="AM1279" s="57"/>
      <c r="AN1279" s="57"/>
      <c r="AO1279" s="55"/>
      <c r="AP1279" s="55"/>
      <c r="AQ1279" s="57"/>
      <c r="AR1279" s="60"/>
      <c r="AS1279" s="57"/>
      <c r="AT1279" s="57"/>
      <c r="AU1279" s="57"/>
      <c r="AV1279" s="61"/>
      <c r="AW1279" s="61"/>
      <c r="AX1279" s="61"/>
      <c r="AY1279" s="61"/>
      <c r="AZ1279" s="61"/>
      <c r="BA1279" s="61"/>
      <c r="BB1279" s="61"/>
      <c r="BC1279" s="61"/>
      <c r="BD1279" s="61"/>
      <c r="BE1279" s="61"/>
      <c r="BF1279" s="55"/>
      <c r="BG1279" s="62"/>
      <c r="BH1279" s="63">
        <f t="shared" ref="BH1279:BH1308" si="57">SUM(F1279:BG1279)</f>
        <v>13</v>
      </c>
      <c r="BI1279" s="64">
        <v>13</v>
      </c>
      <c r="BJ1279" s="62"/>
      <c r="BK1279" s="203">
        <f t="shared" ref="BK1279:BK1308" si="58">BH1279-BI1279</f>
        <v>0</v>
      </c>
      <c r="BL1279" s="64"/>
      <c r="BM1279" s="65"/>
      <c r="BN1279" s="65"/>
      <c r="BO1279" s="65"/>
    </row>
    <row r="1280" spans="2:67" ht="19.5" customHeight="1">
      <c r="B1280" s="51" t="s">
        <v>76</v>
      </c>
      <c r="C1280" s="52" t="s">
        <v>1234</v>
      </c>
      <c r="D1280" s="53" t="s">
        <v>76</v>
      </c>
      <c r="E1280" s="219" t="s">
        <v>1236</v>
      </c>
      <c r="F1280" s="66"/>
      <c r="G1280" s="66"/>
      <c r="H1280" s="66"/>
      <c r="I1280" s="66"/>
      <c r="J1280" s="66"/>
      <c r="K1280" s="66"/>
      <c r="L1280" s="66"/>
      <c r="M1280" s="66"/>
      <c r="N1280" s="67"/>
      <c r="O1280" s="66"/>
      <c r="P1280" s="66"/>
      <c r="Q1280" s="66"/>
      <c r="R1280" s="66"/>
      <c r="S1280" s="66"/>
      <c r="T1280" s="66"/>
      <c r="U1280" s="66"/>
      <c r="V1280" s="66"/>
      <c r="W1280" s="66"/>
      <c r="X1280" s="66"/>
      <c r="Y1280" s="66"/>
      <c r="Z1280" s="66"/>
      <c r="AA1280" s="66"/>
      <c r="AB1280" s="66"/>
      <c r="AC1280" s="66"/>
      <c r="AD1280" s="66"/>
      <c r="AE1280" s="66"/>
      <c r="AF1280" s="66"/>
      <c r="AG1280" s="66"/>
      <c r="AH1280" s="66"/>
      <c r="AI1280" s="66"/>
      <c r="AJ1280" s="66"/>
      <c r="AK1280" s="66"/>
      <c r="AL1280" s="66"/>
      <c r="AM1280" s="66"/>
      <c r="AN1280" s="66"/>
      <c r="AO1280" s="66"/>
      <c r="AP1280" s="66"/>
      <c r="AQ1280" s="66"/>
      <c r="AR1280" s="68"/>
      <c r="AS1280" s="66"/>
      <c r="AT1280" s="66"/>
      <c r="AU1280" s="66"/>
      <c r="AV1280" s="69"/>
      <c r="AW1280" s="69"/>
      <c r="AX1280" s="69"/>
      <c r="AY1280" s="69"/>
      <c r="AZ1280" s="69"/>
      <c r="BA1280" s="69">
        <v>4</v>
      </c>
      <c r="BB1280" s="69"/>
      <c r="BC1280" s="69"/>
      <c r="BD1280" s="69"/>
      <c r="BE1280" s="69"/>
      <c r="BF1280" s="55"/>
      <c r="BG1280" s="70"/>
      <c r="BH1280" s="63">
        <f t="shared" si="57"/>
        <v>4</v>
      </c>
      <c r="BI1280" s="63">
        <v>4</v>
      </c>
      <c r="BJ1280" s="70"/>
      <c r="BK1280" s="203">
        <f t="shared" si="58"/>
        <v>0</v>
      </c>
      <c r="BL1280" s="63"/>
      <c r="BM1280" s="71"/>
      <c r="BN1280" s="71"/>
      <c r="BO1280" s="72"/>
    </row>
    <row r="1281" spans="2:67" ht="18.75" customHeight="1">
      <c r="B1281" s="51" t="s">
        <v>78</v>
      </c>
      <c r="C1281" s="52" t="s">
        <v>1234</v>
      </c>
      <c r="D1281" s="53" t="s">
        <v>78</v>
      </c>
      <c r="E1281" s="218" t="s">
        <v>1237</v>
      </c>
      <c r="F1281" s="66"/>
      <c r="G1281" s="66"/>
      <c r="H1281" s="66"/>
      <c r="I1281" s="66"/>
      <c r="J1281" s="66"/>
      <c r="K1281" s="66"/>
      <c r="L1281" s="66"/>
      <c r="M1281" s="66"/>
      <c r="N1281" s="67"/>
      <c r="O1281" s="66"/>
      <c r="P1281" s="66"/>
      <c r="Q1281" s="66"/>
      <c r="R1281" s="66"/>
      <c r="S1281" s="66"/>
      <c r="T1281" s="66"/>
      <c r="U1281" s="66"/>
      <c r="V1281" s="66"/>
      <c r="W1281" s="66"/>
      <c r="X1281" s="66"/>
      <c r="Y1281" s="66"/>
      <c r="Z1281" s="66"/>
      <c r="AA1281" s="66"/>
      <c r="AB1281" s="66"/>
      <c r="AC1281" s="66"/>
      <c r="AD1281" s="66"/>
      <c r="AE1281" s="66"/>
      <c r="AF1281" s="66"/>
      <c r="AG1281" s="66"/>
      <c r="AH1281" s="66"/>
      <c r="AI1281" s="66"/>
      <c r="AJ1281" s="66"/>
      <c r="AK1281" s="66"/>
      <c r="AL1281" s="66"/>
      <c r="AM1281" s="66"/>
      <c r="AN1281" s="66"/>
      <c r="AO1281" s="66"/>
      <c r="AP1281" s="66"/>
      <c r="AQ1281" s="66"/>
      <c r="AR1281" s="68"/>
      <c r="AS1281" s="66"/>
      <c r="AT1281" s="66"/>
      <c r="AU1281" s="66"/>
      <c r="AV1281" s="69"/>
      <c r="AW1281" s="69"/>
      <c r="AX1281" s="69"/>
      <c r="AY1281" s="69"/>
      <c r="AZ1281" s="69"/>
      <c r="BA1281" s="69"/>
      <c r="BB1281" s="69"/>
      <c r="BC1281" s="69"/>
      <c r="BD1281" s="69"/>
      <c r="BE1281" s="69"/>
      <c r="BF1281" s="55">
        <v>5</v>
      </c>
      <c r="BG1281" s="70"/>
      <c r="BH1281" s="63">
        <f t="shared" si="57"/>
        <v>5</v>
      </c>
      <c r="BI1281" s="63">
        <v>5</v>
      </c>
      <c r="BJ1281" s="70"/>
      <c r="BK1281" s="203">
        <f t="shared" si="58"/>
        <v>0</v>
      </c>
      <c r="BL1281" s="63"/>
      <c r="BM1281" s="71"/>
      <c r="BN1281" s="72"/>
      <c r="BO1281" s="71"/>
    </row>
    <row r="1282" spans="2:67" ht="18.95" customHeight="1">
      <c r="B1282" s="51" t="s">
        <v>80</v>
      </c>
      <c r="C1282" s="52" t="s">
        <v>1234</v>
      </c>
      <c r="D1282" s="53"/>
      <c r="E1282" s="220"/>
      <c r="F1282" s="66"/>
      <c r="G1282" s="66"/>
      <c r="H1282" s="66"/>
      <c r="I1282" s="66"/>
      <c r="J1282" s="66"/>
      <c r="K1282" s="66"/>
      <c r="L1282" s="66"/>
      <c r="M1282" s="66"/>
      <c r="N1282" s="67"/>
      <c r="O1282" s="66"/>
      <c r="P1282" s="66"/>
      <c r="Q1282" s="66"/>
      <c r="R1282" s="66"/>
      <c r="S1282" s="66"/>
      <c r="T1282" s="66"/>
      <c r="U1282" s="66"/>
      <c r="V1282" s="66"/>
      <c r="W1282" s="66"/>
      <c r="X1282" s="66"/>
      <c r="Y1282" s="66"/>
      <c r="Z1282" s="66"/>
      <c r="AA1282" s="66"/>
      <c r="AB1282" s="66"/>
      <c r="AC1282" s="66"/>
      <c r="AD1282" s="66"/>
      <c r="AE1282" s="66"/>
      <c r="AF1282" s="66"/>
      <c r="AG1282" s="66"/>
      <c r="AH1282" s="66"/>
      <c r="AI1282" s="66"/>
      <c r="AJ1282" s="66"/>
      <c r="AK1282" s="66"/>
      <c r="AL1282" s="66"/>
      <c r="AM1282" s="66"/>
      <c r="AN1282" s="66"/>
      <c r="AO1282" s="66"/>
      <c r="AP1282" s="66"/>
      <c r="AQ1282" s="66"/>
      <c r="AR1282" s="68"/>
      <c r="AS1282" s="66"/>
      <c r="AT1282" s="66"/>
      <c r="AU1282" s="66"/>
      <c r="AV1282" s="69"/>
      <c r="AW1282" s="69"/>
      <c r="AX1282" s="69"/>
      <c r="AY1282" s="69"/>
      <c r="AZ1282" s="69"/>
      <c r="BA1282" s="69"/>
      <c r="BB1282" s="69"/>
      <c r="BC1282" s="69"/>
      <c r="BD1282" s="69"/>
      <c r="BE1282" s="69"/>
      <c r="BF1282" s="55"/>
      <c r="BG1282" s="70"/>
      <c r="BH1282" s="63">
        <f t="shared" si="57"/>
        <v>0</v>
      </c>
      <c r="BI1282" s="63"/>
      <c r="BJ1282" s="70"/>
      <c r="BK1282" s="203">
        <f t="shared" si="58"/>
        <v>0</v>
      </c>
      <c r="BL1282" s="63"/>
      <c r="BM1282" s="71"/>
      <c r="BN1282" s="71"/>
      <c r="BO1282" s="71"/>
    </row>
    <row r="1283" spans="2:67" ht="18.95" customHeight="1" thickBot="1">
      <c r="B1283" s="51" t="s">
        <v>82</v>
      </c>
      <c r="C1283" s="52" t="s">
        <v>1234</v>
      </c>
      <c r="D1283" s="53"/>
      <c r="E1283" s="221"/>
      <c r="F1283" s="66"/>
      <c r="G1283" s="66"/>
      <c r="H1283" s="66"/>
      <c r="I1283" s="66"/>
      <c r="J1283" s="66"/>
      <c r="K1283" s="66"/>
      <c r="L1283" s="66"/>
      <c r="M1283" s="66"/>
      <c r="N1283" s="67"/>
      <c r="O1283" s="66"/>
      <c r="P1283" s="66"/>
      <c r="Q1283" s="66"/>
      <c r="R1283" s="66"/>
      <c r="S1283" s="66"/>
      <c r="T1283" s="66"/>
      <c r="U1283" s="66"/>
      <c r="V1283" s="66"/>
      <c r="W1283" s="66"/>
      <c r="X1283" s="66"/>
      <c r="Y1283" s="66"/>
      <c r="Z1283" s="66"/>
      <c r="AA1283" s="66"/>
      <c r="AB1283" s="66"/>
      <c r="AC1283" s="66"/>
      <c r="AD1283" s="66"/>
      <c r="AE1283" s="66"/>
      <c r="AF1283" s="66"/>
      <c r="AG1283" s="66"/>
      <c r="AH1283" s="66"/>
      <c r="AI1283" s="66"/>
      <c r="AJ1283" s="66"/>
      <c r="AK1283" s="66"/>
      <c r="AL1283" s="66"/>
      <c r="AM1283" s="66"/>
      <c r="AN1283" s="66"/>
      <c r="AO1283" s="66"/>
      <c r="AP1283" s="66"/>
      <c r="AQ1283" s="66"/>
      <c r="AR1283" s="68"/>
      <c r="AS1283" s="66"/>
      <c r="AT1283" s="66"/>
      <c r="AU1283" s="66"/>
      <c r="AV1283" s="69"/>
      <c r="AW1283" s="69"/>
      <c r="AX1283" s="69"/>
      <c r="AY1283" s="69"/>
      <c r="AZ1283" s="69"/>
      <c r="BA1283" s="69"/>
      <c r="BB1283" s="69"/>
      <c r="BC1283" s="69"/>
      <c r="BD1283" s="69"/>
      <c r="BE1283" s="69"/>
      <c r="BF1283" s="55"/>
      <c r="BG1283" s="70"/>
      <c r="BH1283" s="63">
        <f t="shared" si="57"/>
        <v>0</v>
      </c>
      <c r="BI1283" s="63"/>
      <c r="BJ1283" s="70"/>
      <c r="BK1283" s="203">
        <f t="shared" si="58"/>
        <v>0</v>
      </c>
      <c r="BL1283" s="63"/>
      <c r="BM1283" s="71"/>
      <c r="BN1283" s="71"/>
      <c r="BO1283" s="71"/>
    </row>
    <row r="1284" spans="2:67" ht="18.95" customHeight="1" thickBot="1">
      <c r="B1284" s="51" t="s">
        <v>84</v>
      </c>
      <c r="C1284" s="52" t="s">
        <v>1234</v>
      </c>
      <c r="D1284" s="53"/>
      <c r="E1284" s="222"/>
      <c r="F1284" s="66"/>
      <c r="G1284" s="66"/>
      <c r="H1284" s="66"/>
      <c r="I1284" s="66"/>
      <c r="J1284" s="66"/>
      <c r="K1284" s="66"/>
      <c r="L1284" s="66"/>
      <c r="M1284" s="66"/>
      <c r="N1284" s="67"/>
      <c r="O1284" s="66"/>
      <c r="P1284" s="66"/>
      <c r="Q1284" s="66"/>
      <c r="R1284" s="66"/>
      <c r="S1284" s="66"/>
      <c r="T1284" s="66"/>
      <c r="U1284" s="66"/>
      <c r="V1284" s="66"/>
      <c r="W1284" s="66"/>
      <c r="X1284" s="66"/>
      <c r="Y1284" s="66"/>
      <c r="Z1284" s="66"/>
      <c r="AA1284" s="66"/>
      <c r="AB1284" s="66"/>
      <c r="AC1284" s="66"/>
      <c r="AD1284" s="66"/>
      <c r="AE1284" s="66"/>
      <c r="AF1284" s="66"/>
      <c r="AG1284" s="66"/>
      <c r="AH1284" s="66"/>
      <c r="AI1284" s="66"/>
      <c r="AJ1284" s="66"/>
      <c r="AK1284" s="66"/>
      <c r="AL1284" s="66"/>
      <c r="AM1284" s="66"/>
      <c r="AN1284" s="66"/>
      <c r="AO1284" s="66"/>
      <c r="AP1284" s="66"/>
      <c r="AQ1284" s="66"/>
      <c r="AR1284" s="68"/>
      <c r="AS1284" s="66"/>
      <c r="AT1284" s="66"/>
      <c r="AU1284" s="66"/>
      <c r="AV1284" s="69"/>
      <c r="AW1284" s="69"/>
      <c r="AX1284" s="69"/>
      <c r="AY1284" s="69"/>
      <c r="AZ1284" s="69"/>
      <c r="BA1284" s="69"/>
      <c r="BB1284" s="69"/>
      <c r="BC1284" s="69"/>
      <c r="BD1284" s="69"/>
      <c r="BE1284" s="69"/>
      <c r="BF1284" s="55"/>
      <c r="BG1284" s="70"/>
      <c r="BH1284" s="63">
        <f t="shared" si="57"/>
        <v>0</v>
      </c>
      <c r="BI1284" s="63"/>
      <c r="BJ1284" s="70"/>
      <c r="BK1284" s="203">
        <f t="shared" si="58"/>
        <v>0</v>
      </c>
      <c r="BL1284" s="63"/>
      <c r="BM1284" s="71"/>
      <c r="BN1284" s="71"/>
      <c r="BO1284" s="71"/>
    </row>
    <row r="1285" spans="2:67" ht="18.95" customHeight="1">
      <c r="B1285" s="51" t="s">
        <v>86</v>
      </c>
      <c r="C1285" s="52" t="s">
        <v>1234</v>
      </c>
      <c r="D1285" s="53"/>
      <c r="E1285" s="223"/>
      <c r="F1285" s="66"/>
      <c r="G1285" s="66"/>
      <c r="H1285" s="66"/>
      <c r="I1285" s="66"/>
      <c r="J1285" s="66"/>
      <c r="K1285" s="66"/>
      <c r="L1285" s="66"/>
      <c r="M1285" s="66"/>
      <c r="N1285" s="67"/>
      <c r="O1285" s="66"/>
      <c r="P1285" s="66"/>
      <c r="Q1285" s="66"/>
      <c r="R1285" s="66"/>
      <c r="S1285" s="66"/>
      <c r="T1285" s="66"/>
      <c r="U1285" s="66"/>
      <c r="V1285" s="66"/>
      <c r="W1285" s="66"/>
      <c r="X1285" s="66"/>
      <c r="Y1285" s="66"/>
      <c r="Z1285" s="66"/>
      <c r="AA1285" s="66"/>
      <c r="AB1285" s="66"/>
      <c r="AC1285" s="66"/>
      <c r="AD1285" s="66"/>
      <c r="AE1285" s="66"/>
      <c r="AF1285" s="66"/>
      <c r="AG1285" s="66"/>
      <c r="AH1285" s="66"/>
      <c r="AI1285" s="66"/>
      <c r="AJ1285" s="66"/>
      <c r="AK1285" s="66"/>
      <c r="AL1285" s="66"/>
      <c r="AM1285" s="66"/>
      <c r="AN1285" s="66"/>
      <c r="AO1285" s="66"/>
      <c r="AP1285" s="66"/>
      <c r="AQ1285" s="66"/>
      <c r="AR1285" s="68"/>
      <c r="AS1285" s="66"/>
      <c r="AT1285" s="66"/>
      <c r="AU1285" s="66"/>
      <c r="AV1285" s="69"/>
      <c r="AW1285" s="69"/>
      <c r="AX1285" s="69"/>
      <c r="AY1285" s="69"/>
      <c r="AZ1285" s="69"/>
      <c r="BA1285" s="69"/>
      <c r="BB1285" s="69"/>
      <c r="BC1285" s="69"/>
      <c r="BD1285" s="69"/>
      <c r="BE1285" s="69"/>
      <c r="BF1285" s="55"/>
      <c r="BG1285" s="70"/>
      <c r="BH1285" s="63">
        <f t="shared" si="57"/>
        <v>0</v>
      </c>
      <c r="BI1285" s="63"/>
      <c r="BJ1285" s="70"/>
      <c r="BK1285" s="203">
        <f t="shared" si="58"/>
        <v>0</v>
      </c>
      <c r="BL1285" s="63"/>
      <c r="BM1285" s="71"/>
      <c r="BN1285" s="71"/>
      <c r="BO1285" s="71"/>
    </row>
    <row r="1286" spans="2:67" ht="18.95" customHeight="1">
      <c r="B1286" s="51" t="s">
        <v>88</v>
      </c>
      <c r="C1286" s="52" t="s">
        <v>1234</v>
      </c>
      <c r="D1286" s="53"/>
      <c r="E1286" s="223"/>
      <c r="F1286" s="66"/>
      <c r="G1286" s="66"/>
      <c r="H1286" s="66"/>
      <c r="I1286" s="66"/>
      <c r="J1286" s="66"/>
      <c r="K1286" s="66"/>
      <c r="L1286" s="66"/>
      <c r="M1286" s="66"/>
      <c r="N1286" s="67"/>
      <c r="O1286" s="66"/>
      <c r="P1286" s="66"/>
      <c r="Q1286" s="66"/>
      <c r="R1286" s="66"/>
      <c r="S1286" s="66"/>
      <c r="T1286" s="66"/>
      <c r="U1286" s="66"/>
      <c r="V1286" s="66"/>
      <c r="W1286" s="66"/>
      <c r="X1286" s="66"/>
      <c r="Y1286" s="66"/>
      <c r="Z1286" s="66"/>
      <c r="AA1286" s="66"/>
      <c r="AB1286" s="66"/>
      <c r="AC1286" s="66"/>
      <c r="AD1286" s="66"/>
      <c r="AE1286" s="66"/>
      <c r="AF1286" s="66"/>
      <c r="AG1286" s="66"/>
      <c r="AH1286" s="66"/>
      <c r="AI1286" s="66"/>
      <c r="AJ1286" s="66"/>
      <c r="AK1286" s="66"/>
      <c r="AL1286" s="66"/>
      <c r="AM1286" s="66"/>
      <c r="AN1286" s="66"/>
      <c r="AO1286" s="66"/>
      <c r="AP1286" s="66"/>
      <c r="AQ1286" s="66"/>
      <c r="AR1286" s="68"/>
      <c r="AS1286" s="66"/>
      <c r="AT1286" s="66"/>
      <c r="AU1286" s="66"/>
      <c r="AV1286" s="69"/>
      <c r="AW1286" s="69"/>
      <c r="AX1286" s="69"/>
      <c r="AY1286" s="69"/>
      <c r="AZ1286" s="69"/>
      <c r="BA1286" s="69"/>
      <c r="BB1286" s="69"/>
      <c r="BC1286" s="69"/>
      <c r="BD1286" s="69"/>
      <c r="BE1286" s="69"/>
      <c r="BF1286" s="55"/>
      <c r="BG1286" s="70"/>
      <c r="BH1286" s="63">
        <f t="shared" si="57"/>
        <v>0</v>
      </c>
      <c r="BI1286" s="63"/>
      <c r="BJ1286" s="70"/>
      <c r="BK1286" s="203">
        <f t="shared" si="58"/>
        <v>0</v>
      </c>
      <c r="BL1286" s="63"/>
      <c r="BM1286" s="71"/>
      <c r="BN1286" s="71"/>
      <c r="BO1286" s="71"/>
    </row>
    <row r="1287" spans="2:67" ht="18.95" customHeight="1">
      <c r="B1287" s="51" t="s">
        <v>90</v>
      </c>
      <c r="C1287" s="52" t="s">
        <v>1234</v>
      </c>
      <c r="D1287" s="53"/>
      <c r="E1287" s="224"/>
      <c r="F1287" s="66"/>
      <c r="G1287" s="66"/>
      <c r="H1287" s="66"/>
      <c r="I1287" s="66"/>
      <c r="J1287" s="66"/>
      <c r="K1287" s="66"/>
      <c r="L1287" s="66"/>
      <c r="M1287" s="66"/>
      <c r="N1287" s="67"/>
      <c r="O1287" s="66"/>
      <c r="P1287" s="66"/>
      <c r="Q1287" s="66"/>
      <c r="R1287" s="66"/>
      <c r="S1287" s="66"/>
      <c r="T1287" s="66"/>
      <c r="U1287" s="66"/>
      <c r="V1287" s="66"/>
      <c r="W1287" s="66"/>
      <c r="X1287" s="66"/>
      <c r="Y1287" s="66"/>
      <c r="Z1287" s="66"/>
      <c r="AA1287" s="66"/>
      <c r="AB1287" s="66"/>
      <c r="AC1287" s="66"/>
      <c r="AD1287" s="66"/>
      <c r="AE1287" s="66"/>
      <c r="AF1287" s="66"/>
      <c r="AG1287" s="66"/>
      <c r="AH1287" s="66"/>
      <c r="AI1287" s="66"/>
      <c r="AJ1287" s="66"/>
      <c r="AK1287" s="66"/>
      <c r="AL1287" s="66"/>
      <c r="AM1287" s="66"/>
      <c r="AN1287" s="66"/>
      <c r="AO1287" s="66"/>
      <c r="AP1287" s="66"/>
      <c r="AQ1287" s="66"/>
      <c r="AR1287" s="68"/>
      <c r="AS1287" s="66"/>
      <c r="AT1287" s="66"/>
      <c r="AU1287" s="66"/>
      <c r="AV1287" s="69"/>
      <c r="AW1287" s="69"/>
      <c r="AX1287" s="69"/>
      <c r="AY1287" s="69"/>
      <c r="AZ1287" s="69"/>
      <c r="BA1287" s="69"/>
      <c r="BB1287" s="69"/>
      <c r="BC1287" s="69"/>
      <c r="BD1287" s="69"/>
      <c r="BE1287" s="69"/>
      <c r="BF1287" s="55"/>
      <c r="BG1287" s="70"/>
      <c r="BH1287" s="63">
        <f t="shared" si="57"/>
        <v>0</v>
      </c>
      <c r="BI1287" s="63"/>
      <c r="BJ1287" s="70"/>
      <c r="BK1287" s="203">
        <f t="shared" si="58"/>
        <v>0</v>
      </c>
      <c r="BL1287" s="63"/>
      <c r="BM1287" s="71"/>
      <c r="BN1287" s="71"/>
      <c r="BO1287" s="71"/>
    </row>
    <row r="1288" spans="2:67" ht="18.95" customHeight="1">
      <c r="B1288" s="51" t="s">
        <v>92</v>
      </c>
      <c r="C1288" s="52" t="s">
        <v>1234</v>
      </c>
      <c r="D1288" s="53"/>
      <c r="E1288" s="223"/>
      <c r="F1288" s="66"/>
      <c r="G1288" s="66"/>
      <c r="H1288" s="66"/>
      <c r="I1288" s="66"/>
      <c r="J1288" s="66"/>
      <c r="K1288" s="66"/>
      <c r="L1288" s="66"/>
      <c r="M1288" s="66"/>
      <c r="N1288" s="67"/>
      <c r="O1288" s="66"/>
      <c r="P1288" s="66"/>
      <c r="Q1288" s="66"/>
      <c r="R1288" s="66"/>
      <c r="S1288" s="66"/>
      <c r="T1288" s="66"/>
      <c r="U1288" s="66"/>
      <c r="V1288" s="66"/>
      <c r="W1288" s="66"/>
      <c r="X1288" s="66"/>
      <c r="Y1288" s="66"/>
      <c r="Z1288" s="66"/>
      <c r="AA1288" s="66"/>
      <c r="AB1288" s="66"/>
      <c r="AC1288" s="66"/>
      <c r="AD1288" s="66"/>
      <c r="AE1288" s="66"/>
      <c r="AF1288" s="66"/>
      <c r="AG1288" s="66"/>
      <c r="AH1288" s="66"/>
      <c r="AI1288" s="66"/>
      <c r="AJ1288" s="66"/>
      <c r="AK1288" s="66"/>
      <c r="AL1288" s="66"/>
      <c r="AM1288" s="66"/>
      <c r="AN1288" s="66"/>
      <c r="AO1288" s="66"/>
      <c r="AP1288" s="66"/>
      <c r="AQ1288" s="66"/>
      <c r="AR1288" s="68"/>
      <c r="AS1288" s="66"/>
      <c r="AT1288" s="66"/>
      <c r="AU1288" s="66"/>
      <c r="AV1288" s="69"/>
      <c r="AW1288" s="69"/>
      <c r="AX1288" s="69"/>
      <c r="AY1288" s="69"/>
      <c r="AZ1288" s="69"/>
      <c r="BA1288" s="69"/>
      <c r="BB1288" s="69"/>
      <c r="BC1288" s="69"/>
      <c r="BD1288" s="69"/>
      <c r="BE1288" s="69"/>
      <c r="BF1288" s="55"/>
      <c r="BG1288" s="70"/>
      <c r="BH1288" s="63">
        <f t="shared" si="57"/>
        <v>0</v>
      </c>
      <c r="BI1288" s="63"/>
      <c r="BJ1288" s="70"/>
      <c r="BK1288" s="203">
        <f t="shared" si="58"/>
        <v>0</v>
      </c>
      <c r="BL1288" s="63"/>
      <c r="BM1288" s="71"/>
      <c r="BN1288" s="71"/>
      <c r="BO1288" s="71"/>
    </row>
    <row r="1289" spans="2:67" ht="18.95" customHeight="1">
      <c r="B1289" s="51" t="s">
        <v>94</v>
      </c>
      <c r="C1289" s="52" t="s">
        <v>1234</v>
      </c>
      <c r="D1289" s="53"/>
      <c r="E1289" s="225"/>
      <c r="F1289" s="66"/>
      <c r="G1289" s="66"/>
      <c r="H1289" s="66"/>
      <c r="I1289" s="66"/>
      <c r="J1289" s="66"/>
      <c r="K1289" s="66"/>
      <c r="L1289" s="66"/>
      <c r="M1289" s="66"/>
      <c r="N1289" s="67"/>
      <c r="O1289" s="66"/>
      <c r="P1289" s="66"/>
      <c r="Q1289" s="66"/>
      <c r="R1289" s="66"/>
      <c r="S1289" s="66"/>
      <c r="T1289" s="66"/>
      <c r="U1289" s="66"/>
      <c r="V1289" s="66"/>
      <c r="W1289" s="66"/>
      <c r="X1289" s="66"/>
      <c r="Y1289" s="66"/>
      <c r="Z1289" s="66"/>
      <c r="AA1289" s="66"/>
      <c r="AB1289" s="66"/>
      <c r="AC1289" s="66"/>
      <c r="AD1289" s="66"/>
      <c r="AE1289" s="66"/>
      <c r="AF1289" s="66"/>
      <c r="AG1289" s="66"/>
      <c r="AH1289" s="66"/>
      <c r="AI1289" s="66"/>
      <c r="AJ1289" s="66"/>
      <c r="AK1289" s="66"/>
      <c r="AL1289" s="66"/>
      <c r="AM1289" s="66"/>
      <c r="AN1289" s="66"/>
      <c r="AO1289" s="66"/>
      <c r="AP1289" s="66"/>
      <c r="AQ1289" s="66"/>
      <c r="AR1289" s="68"/>
      <c r="AS1289" s="66"/>
      <c r="AT1289" s="66"/>
      <c r="AU1289" s="66"/>
      <c r="AV1289" s="69"/>
      <c r="AW1289" s="69"/>
      <c r="AX1289" s="69"/>
      <c r="AY1289" s="69"/>
      <c r="AZ1289" s="69"/>
      <c r="BA1289" s="69"/>
      <c r="BB1289" s="69"/>
      <c r="BC1289" s="69"/>
      <c r="BD1289" s="69"/>
      <c r="BE1289" s="69"/>
      <c r="BF1289" s="55"/>
      <c r="BG1289" s="70"/>
      <c r="BH1289" s="63">
        <f t="shared" si="57"/>
        <v>0</v>
      </c>
      <c r="BI1289" s="63"/>
      <c r="BJ1289" s="70"/>
      <c r="BK1289" s="203">
        <f t="shared" si="58"/>
        <v>0</v>
      </c>
      <c r="BL1289" s="63"/>
      <c r="BM1289" s="71"/>
      <c r="BN1289" s="71"/>
      <c r="BO1289" s="71"/>
    </row>
    <row r="1290" spans="2:67" ht="18.95" customHeight="1">
      <c r="B1290" s="51" t="s">
        <v>96</v>
      </c>
      <c r="C1290" s="52" t="s">
        <v>1234</v>
      </c>
      <c r="D1290" s="53"/>
      <c r="E1290" s="223"/>
      <c r="F1290" s="66"/>
      <c r="G1290" s="66"/>
      <c r="H1290" s="66"/>
      <c r="I1290" s="66"/>
      <c r="J1290" s="66"/>
      <c r="K1290" s="66"/>
      <c r="L1290" s="66"/>
      <c r="M1290" s="66"/>
      <c r="N1290" s="67"/>
      <c r="O1290" s="66"/>
      <c r="P1290" s="66"/>
      <c r="Q1290" s="66"/>
      <c r="R1290" s="66"/>
      <c r="S1290" s="66"/>
      <c r="T1290" s="66"/>
      <c r="U1290" s="66"/>
      <c r="V1290" s="66"/>
      <c r="W1290" s="66"/>
      <c r="X1290" s="66"/>
      <c r="Y1290" s="66"/>
      <c r="Z1290" s="66"/>
      <c r="AA1290" s="66"/>
      <c r="AB1290" s="66"/>
      <c r="AC1290" s="66"/>
      <c r="AD1290" s="66"/>
      <c r="AE1290" s="66"/>
      <c r="AF1290" s="66"/>
      <c r="AG1290" s="66"/>
      <c r="AH1290" s="66"/>
      <c r="AI1290" s="66"/>
      <c r="AJ1290" s="66"/>
      <c r="AK1290" s="66"/>
      <c r="AL1290" s="66"/>
      <c r="AM1290" s="66"/>
      <c r="AN1290" s="66"/>
      <c r="AO1290" s="66"/>
      <c r="AP1290" s="66"/>
      <c r="AQ1290" s="66"/>
      <c r="AR1290" s="68"/>
      <c r="AS1290" s="66"/>
      <c r="AT1290" s="66"/>
      <c r="AU1290" s="66"/>
      <c r="AV1290" s="69"/>
      <c r="AW1290" s="69"/>
      <c r="AX1290" s="69"/>
      <c r="AY1290" s="69"/>
      <c r="AZ1290" s="69"/>
      <c r="BA1290" s="69"/>
      <c r="BB1290" s="69"/>
      <c r="BC1290" s="69"/>
      <c r="BD1290" s="69"/>
      <c r="BE1290" s="69"/>
      <c r="BF1290" s="55"/>
      <c r="BG1290" s="70"/>
      <c r="BH1290" s="63">
        <f t="shared" si="57"/>
        <v>0</v>
      </c>
      <c r="BI1290" s="63"/>
      <c r="BJ1290" s="70"/>
      <c r="BK1290" s="203">
        <f t="shared" si="58"/>
        <v>0</v>
      </c>
      <c r="BL1290" s="63"/>
      <c r="BM1290" s="71"/>
      <c r="BN1290" s="71"/>
      <c r="BO1290" s="71"/>
    </row>
    <row r="1291" spans="2:67" ht="18.95" customHeight="1">
      <c r="B1291" s="51" t="s">
        <v>98</v>
      </c>
      <c r="C1291" s="52" t="s">
        <v>1234</v>
      </c>
      <c r="D1291" s="53"/>
      <c r="E1291" s="223"/>
      <c r="F1291" s="66"/>
      <c r="G1291" s="66"/>
      <c r="H1291" s="66"/>
      <c r="I1291" s="66"/>
      <c r="J1291" s="66"/>
      <c r="K1291" s="66"/>
      <c r="L1291" s="66"/>
      <c r="M1291" s="66"/>
      <c r="N1291" s="67"/>
      <c r="O1291" s="66"/>
      <c r="P1291" s="66"/>
      <c r="Q1291" s="66"/>
      <c r="R1291" s="66"/>
      <c r="S1291" s="66"/>
      <c r="T1291" s="66"/>
      <c r="U1291" s="66"/>
      <c r="V1291" s="66"/>
      <c r="W1291" s="66"/>
      <c r="X1291" s="66"/>
      <c r="Y1291" s="66"/>
      <c r="Z1291" s="66"/>
      <c r="AA1291" s="66"/>
      <c r="AB1291" s="66"/>
      <c r="AC1291" s="66"/>
      <c r="AD1291" s="66"/>
      <c r="AE1291" s="66"/>
      <c r="AF1291" s="66"/>
      <c r="AG1291" s="66"/>
      <c r="AH1291" s="66"/>
      <c r="AI1291" s="66"/>
      <c r="AJ1291" s="66"/>
      <c r="AK1291" s="66"/>
      <c r="AL1291" s="66"/>
      <c r="AM1291" s="66"/>
      <c r="AN1291" s="66"/>
      <c r="AO1291" s="66"/>
      <c r="AP1291" s="66"/>
      <c r="AQ1291" s="66"/>
      <c r="AR1291" s="68"/>
      <c r="AS1291" s="66"/>
      <c r="AT1291" s="66"/>
      <c r="AU1291" s="66"/>
      <c r="AV1291" s="69"/>
      <c r="AW1291" s="69"/>
      <c r="AX1291" s="69"/>
      <c r="AY1291" s="69"/>
      <c r="AZ1291" s="69"/>
      <c r="BA1291" s="69"/>
      <c r="BB1291" s="69"/>
      <c r="BC1291" s="69"/>
      <c r="BD1291" s="69"/>
      <c r="BE1291" s="69"/>
      <c r="BF1291" s="55"/>
      <c r="BG1291" s="70"/>
      <c r="BH1291" s="63">
        <f t="shared" si="57"/>
        <v>0</v>
      </c>
      <c r="BI1291" s="63"/>
      <c r="BJ1291" s="70"/>
      <c r="BK1291" s="203">
        <f t="shared" si="58"/>
        <v>0</v>
      </c>
      <c r="BL1291" s="63"/>
      <c r="BM1291" s="71"/>
      <c r="BN1291" s="71"/>
      <c r="BO1291" s="71"/>
    </row>
    <row r="1292" spans="2:67" ht="18.95" customHeight="1">
      <c r="B1292" s="51" t="s">
        <v>100</v>
      </c>
      <c r="C1292" s="52" t="s">
        <v>1234</v>
      </c>
      <c r="D1292" s="53"/>
      <c r="E1292" s="223"/>
      <c r="F1292" s="66"/>
      <c r="G1292" s="66"/>
      <c r="H1292" s="66"/>
      <c r="I1292" s="66"/>
      <c r="J1292" s="66"/>
      <c r="K1292" s="66"/>
      <c r="L1292" s="66"/>
      <c r="M1292" s="66"/>
      <c r="N1292" s="67"/>
      <c r="O1292" s="66"/>
      <c r="P1292" s="66"/>
      <c r="Q1292" s="66"/>
      <c r="R1292" s="66"/>
      <c r="S1292" s="66"/>
      <c r="T1292" s="66"/>
      <c r="U1292" s="66"/>
      <c r="V1292" s="66"/>
      <c r="W1292" s="66"/>
      <c r="X1292" s="66"/>
      <c r="Y1292" s="66"/>
      <c r="Z1292" s="66"/>
      <c r="AA1292" s="66"/>
      <c r="AB1292" s="66"/>
      <c r="AC1292" s="66"/>
      <c r="AD1292" s="66"/>
      <c r="AE1292" s="66"/>
      <c r="AF1292" s="66"/>
      <c r="AG1292" s="66"/>
      <c r="AH1292" s="66"/>
      <c r="AI1292" s="66"/>
      <c r="AJ1292" s="66"/>
      <c r="AK1292" s="66"/>
      <c r="AL1292" s="66"/>
      <c r="AM1292" s="66"/>
      <c r="AN1292" s="66"/>
      <c r="AO1292" s="66"/>
      <c r="AP1292" s="66"/>
      <c r="AQ1292" s="66"/>
      <c r="AR1292" s="68"/>
      <c r="AS1292" s="66"/>
      <c r="AT1292" s="66"/>
      <c r="AU1292" s="66"/>
      <c r="AV1292" s="69"/>
      <c r="AW1292" s="69"/>
      <c r="AX1292" s="69"/>
      <c r="AY1292" s="69"/>
      <c r="AZ1292" s="69"/>
      <c r="BA1292" s="69"/>
      <c r="BB1292" s="69"/>
      <c r="BC1292" s="69"/>
      <c r="BD1292" s="69"/>
      <c r="BE1292" s="69"/>
      <c r="BF1292" s="55"/>
      <c r="BG1292" s="70"/>
      <c r="BH1292" s="63">
        <f t="shared" si="57"/>
        <v>0</v>
      </c>
      <c r="BI1292" s="63"/>
      <c r="BJ1292" s="70"/>
      <c r="BK1292" s="203">
        <f t="shared" si="58"/>
        <v>0</v>
      </c>
      <c r="BL1292" s="63"/>
      <c r="BM1292" s="71"/>
      <c r="BN1292" s="71"/>
      <c r="BO1292" s="71"/>
    </row>
    <row r="1293" spans="2:67" ht="18.95" customHeight="1">
      <c r="B1293" s="51" t="s">
        <v>102</v>
      </c>
      <c r="C1293" s="52" t="s">
        <v>1234</v>
      </c>
      <c r="D1293" s="53"/>
      <c r="E1293" s="223"/>
      <c r="F1293" s="66"/>
      <c r="G1293" s="66"/>
      <c r="H1293" s="66"/>
      <c r="I1293" s="66"/>
      <c r="J1293" s="66"/>
      <c r="K1293" s="66"/>
      <c r="L1293" s="66"/>
      <c r="M1293" s="66"/>
      <c r="N1293" s="67"/>
      <c r="O1293" s="66"/>
      <c r="P1293" s="66"/>
      <c r="Q1293" s="66"/>
      <c r="R1293" s="66"/>
      <c r="S1293" s="66"/>
      <c r="T1293" s="66"/>
      <c r="U1293" s="66"/>
      <c r="V1293" s="66"/>
      <c r="W1293" s="66"/>
      <c r="X1293" s="66"/>
      <c r="Y1293" s="66"/>
      <c r="Z1293" s="66"/>
      <c r="AA1293" s="66"/>
      <c r="AB1293" s="66"/>
      <c r="AC1293" s="66"/>
      <c r="AD1293" s="66"/>
      <c r="AE1293" s="66"/>
      <c r="AF1293" s="66"/>
      <c r="AG1293" s="66"/>
      <c r="AH1293" s="66"/>
      <c r="AI1293" s="66"/>
      <c r="AJ1293" s="66"/>
      <c r="AK1293" s="66"/>
      <c r="AL1293" s="66"/>
      <c r="AM1293" s="66"/>
      <c r="AN1293" s="66"/>
      <c r="AO1293" s="66"/>
      <c r="AP1293" s="66"/>
      <c r="AQ1293" s="66"/>
      <c r="AR1293" s="68"/>
      <c r="AS1293" s="66"/>
      <c r="AT1293" s="66"/>
      <c r="AU1293" s="66"/>
      <c r="AV1293" s="69"/>
      <c r="AW1293" s="69"/>
      <c r="AX1293" s="69"/>
      <c r="AY1293" s="69"/>
      <c r="AZ1293" s="69"/>
      <c r="BA1293" s="69"/>
      <c r="BB1293" s="69"/>
      <c r="BC1293" s="69"/>
      <c r="BD1293" s="69"/>
      <c r="BE1293" s="69"/>
      <c r="BF1293" s="55"/>
      <c r="BG1293" s="70"/>
      <c r="BH1293" s="63">
        <f t="shared" si="57"/>
        <v>0</v>
      </c>
      <c r="BI1293" s="63"/>
      <c r="BJ1293" s="70"/>
      <c r="BK1293" s="203">
        <f t="shared" si="58"/>
        <v>0</v>
      </c>
      <c r="BL1293" s="63"/>
      <c r="BM1293" s="71"/>
      <c r="BN1293" s="71"/>
      <c r="BO1293" s="71"/>
    </row>
    <row r="1294" spans="2:67" ht="18.95" customHeight="1">
      <c r="B1294" s="51" t="s">
        <v>104</v>
      </c>
      <c r="C1294" s="52" t="s">
        <v>1234</v>
      </c>
      <c r="D1294" s="53"/>
      <c r="E1294" s="223"/>
      <c r="F1294" s="66"/>
      <c r="G1294" s="66"/>
      <c r="H1294" s="66"/>
      <c r="I1294" s="66"/>
      <c r="J1294" s="66"/>
      <c r="K1294" s="66"/>
      <c r="L1294" s="66"/>
      <c r="M1294" s="66"/>
      <c r="N1294" s="67"/>
      <c r="O1294" s="66"/>
      <c r="P1294" s="66"/>
      <c r="Q1294" s="66"/>
      <c r="R1294" s="66"/>
      <c r="S1294" s="66"/>
      <c r="T1294" s="66"/>
      <c r="U1294" s="66"/>
      <c r="V1294" s="66"/>
      <c r="W1294" s="66"/>
      <c r="X1294" s="66"/>
      <c r="Y1294" s="66"/>
      <c r="Z1294" s="66"/>
      <c r="AA1294" s="66"/>
      <c r="AB1294" s="66"/>
      <c r="AC1294" s="66"/>
      <c r="AD1294" s="66"/>
      <c r="AE1294" s="66"/>
      <c r="AF1294" s="66"/>
      <c r="AG1294" s="66"/>
      <c r="AH1294" s="66"/>
      <c r="AI1294" s="66"/>
      <c r="AJ1294" s="66"/>
      <c r="AK1294" s="66"/>
      <c r="AL1294" s="66"/>
      <c r="AM1294" s="66"/>
      <c r="AN1294" s="66"/>
      <c r="AO1294" s="66"/>
      <c r="AP1294" s="66"/>
      <c r="AQ1294" s="66"/>
      <c r="AR1294" s="68"/>
      <c r="AS1294" s="66"/>
      <c r="AT1294" s="66"/>
      <c r="AU1294" s="66"/>
      <c r="AV1294" s="69"/>
      <c r="AW1294" s="69"/>
      <c r="AX1294" s="69"/>
      <c r="AY1294" s="69"/>
      <c r="AZ1294" s="69"/>
      <c r="BA1294" s="69"/>
      <c r="BB1294" s="69"/>
      <c r="BC1294" s="69"/>
      <c r="BD1294" s="69"/>
      <c r="BE1294" s="69"/>
      <c r="BF1294" s="55"/>
      <c r="BG1294" s="70"/>
      <c r="BH1294" s="63">
        <f t="shared" si="57"/>
        <v>0</v>
      </c>
      <c r="BI1294" s="63"/>
      <c r="BJ1294" s="70"/>
      <c r="BK1294" s="203">
        <f t="shared" si="58"/>
        <v>0</v>
      </c>
      <c r="BL1294" s="63"/>
      <c r="BM1294" s="71"/>
      <c r="BN1294" s="71"/>
      <c r="BO1294" s="71"/>
    </row>
    <row r="1295" spans="2:67" ht="18.95" customHeight="1">
      <c r="B1295" s="51" t="s">
        <v>106</v>
      </c>
      <c r="C1295" s="52" t="s">
        <v>1234</v>
      </c>
      <c r="D1295" s="53"/>
      <c r="E1295" s="223"/>
      <c r="F1295" s="66"/>
      <c r="G1295" s="66"/>
      <c r="H1295" s="66"/>
      <c r="I1295" s="66"/>
      <c r="J1295" s="66"/>
      <c r="K1295" s="66"/>
      <c r="L1295" s="66"/>
      <c r="M1295" s="66"/>
      <c r="N1295" s="67"/>
      <c r="O1295" s="66"/>
      <c r="P1295" s="66"/>
      <c r="Q1295" s="66"/>
      <c r="R1295" s="66"/>
      <c r="S1295" s="66"/>
      <c r="T1295" s="66"/>
      <c r="U1295" s="66"/>
      <c r="V1295" s="66"/>
      <c r="W1295" s="66"/>
      <c r="X1295" s="66"/>
      <c r="Y1295" s="66"/>
      <c r="Z1295" s="66"/>
      <c r="AA1295" s="66"/>
      <c r="AB1295" s="66"/>
      <c r="AC1295" s="66"/>
      <c r="AD1295" s="66"/>
      <c r="AE1295" s="66"/>
      <c r="AF1295" s="66"/>
      <c r="AG1295" s="66"/>
      <c r="AH1295" s="66"/>
      <c r="AI1295" s="66"/>
      <c r="AJ1295" s="66"/>
      <c r="AK1295" s="66"/>
      <c r="AL1295" s="66"/>
      <c r="AM1295" s="66"/>
      <c r="AN1295" s="66"/>
      <c r="AO1295" s="66"/>
      <c r="AP1295" s="66"/>
      <c r="AQ1295" s="66"/>
      <c r="AR1295" s="68"/>
      <c r="AS1295" s="66"/>
      <c r="AT1295" s="66"/>
      <c r="AU1295" s="66"/>
      <c r="AV1295" s="69"/>
      <c r="AW1295" s="69"/>
      <c r="AX1295" s="69"/>
      <c r="AY1295" s="69"/>
      <c r="AZ1295" s="69"/>
      <c r="BA1295" s="69"/>
      <c r="BB1295" s="69"/>
      <c r="BC1295" s="69"/>
      <c r="BD1295" s="69"/>
      <c r="BE1295" s="69"/>
      <c r="BF1295" s="55"/>
      <c r="BG1295" s="70"/>
      <c r="BH1295" s="63">
        <f t="shared" si="57"/>
        <v>0</v>
      </c>
      <c r="BI1295" s="63"/>
      <c r="BJ1295" s="70"/>
      <c r="BK1295" s="203">
        <f t="shared" si="58"/>
        <v>0</v>
      </c>
      <c r="BL1295" s="63"/>
      <c r="BM1295" s="71"/>
      <c r="BN1295" s="71"/>
      <c r="BO1295" s="71"/>
    </row>
    <row r="1296" spans="2:67" ht="18.95" customHeight="1">
      <c r="B1296" s="51" t="s">
        <v>108</v>
      </c>
      <c r="C1296" s="52" t="s">
        <v>1234</v>
      </c>
      <c r="D1296" s="53"/>
      <c r="E1296" s="223"/>
      <c r="F1296" s="66"/>
      <c r="G1296" s="66"/>
      <c r="H1296" s="66"/>
      <c r="I1296" s="66"/>
      <c r="J1296" s="66"/>
      <c r="K1296" s="66"/>
      <c r="L1296" s="66"/>
      <c r="M1296" s="66"/>
      <c r="N1296" s="67"/>
      <c r="O1296" s="66"/>
      <c r="P1296" s="66"/>
      <c r="Q1296" s="66"/>
      <c r="R1296" s="66"/>
      <c r="S1296" s="66"/>
      <c r="T1296" s="66"/>
      <c r="U1296" s="66"/>
      <c r="V1296" s="66"/>
      <c r="W1296" s="66"/>
      <c r="X1296" s="66"/>
      <c r="Y1296" s="66"/>
      <c r="Z1296" s="66"/>
      <c r="AA1296" s="66"/>
      <c r="AB1296" s="66"/>
      <c r="AC1296" s="66"/>
      <c r="AD1296" s="66"/>
      <c r="AE1296" s="66"/>
      <c r="AF1296" s="66"/>
      <c r="AG1296" s="66"/>
      <c r="AH1296" s="66"/>
      <c r="AI1296" s="66"/>
      <c r="AJ1296" s="66"/>
      <c r="AK1296" s="66"/>
      <c r="AL1296" s="66"/>
      <c r="AM1296" s="66"/>
      <c r="AN1296" s="66"/>
      <c r="AO1296" s="66"/>
      <c r="AP1296" s="66"/>
      <c r="AQ1296" s="66"/>
      <c r="AR1296" s="68"/>
      <c r="AS1296" s="66"/>
      <c r="AT1296" s="66"/>
      <c r="AU1296" s="66"/>
      <c r="AV1296" s="69"/>
      <c r="AW1296" s="69"/>
      <c r="AX1296" s="69"/>
      <c r="AY1296" s="69"/>
      <c r="AZ1296" s="69"/>
      <c r="BA1296" s="69"/>
      <c r="BB1296" s="69"/>
      <c r="BC1296" s="69"/>
      <c r="BD1296" s="69"/>
      <c r="BE1296" s="69"/>
      <c r="BF1296" s="55"/>
      <c r="BG1296" s="70"/>
      <c r="BH1296" s="63">
        <f t="shared" si="57"/>
        <v>0</v>
      </c>
      <c r="BI1296" s="63"/>
      <c r="BJ1296" s="70"/>
      <c r="BK1296" s="203">
        <f t="shared" si="58"/>
        <v>0</v>
      </c>
      <c r="BL1296" s="63"/>
      <c r="BM1296" s="71"/>
      <c r="BN1296" s="71"/>
      <c r="BO1296" s="71"/>
    </row>
    <row r="1297" spans="2:67" ht="18.95" customHeight="1">
      <c r="B1297" s="51" t="s">
        <v>110</v>
      </c>
      <c r="C1297" s="52" t="s">
        <v>1234</v>
      </c>
      <c r="D1297" s="53"/>
      <c r="E1297" s="226"/>
      <c r="F1297" s="66"/>
      <c r="G1297" s="66"/>
      <c r="H1297" s="66"/>
      <c r="I1297" s="66"/>
      <c r="J1297" s="66"/>
      <c r="K1297" s="66"/>
      <c r="L1297" s="66"/>
      <c r="M1297" s="66"/>
      <c r="N1297" s="67"/>
      <c r="O1297" s="66"/>
      <c r="P1297" s="66"/>
      <c r="Q1297" s="66"/>
      <c r="R1297" s="66"/>
      <c r="S1297" s="66"/>
      <c r="T1297" s="66"/>
      <c r="U1297" s="66"/>
      <c r="V1297" s="66"/>
      <c r="W1297" s="66"/>
      <c r="X1297" s="66"/>
      <c r="Y1297" s="66"/>
      <c r="Z1297" s="66"/>
      <c r="AA1297" s="66"/>
      <c r="AB1297" s="66"/>
      <c r="AC1297" s="66"/>
      <c r="AD1297" s="66"/>
      <c r="AE1297" s="66"/>
      <c r="AF1297" s="66"/>
      <c r="AG1297" s="66"/>
      <c r="AH1297" s="66"/>
      <c r="AI1297" s="66"/>
      <c r="AJ1297" s="66"/>
      <c r="AK1297" s="66"/>
      <c r="AL1297" s="66"/>
      <c r="AM1297" s="66"/>
      <c r="AN1297" s="66"/>
      <c r="AO1297" s="66"/>
      <c r="AP1297" s="66"/>
      <c r="AQ1297" s="66"/>
      <c r="AR1297" s="68"/>
      <c r="AS1297" s="66"/>
      <c r="AT1297" s="66"/>
      <c r="AU1297" s="66"/>
      <c r="AV1297" s="69"/>
      <c r="AW1297" s="69"/>
      <c r="AX1297" s="69"/>
      <c r="AY1297" s="69"/>
      <c r="AZ1297" s="69"/>
      <c r="BA1297" s="69"/>
      <c r="BB1297" s="69"/>
      <c r="BC1297" s="69"/>
      <c r="BD1297" s="69"/>
      <c r="BE1297" s="69"/>
      <c r="BF1297" s="55"/>
      <c r="BG1297" s="70"/>
      <c r="BH1297" s="63">
        <f t="shared" si="57"/>
        <v>0</v>
      </c>
      <c r="BI1297" s="63"/>
      <c r="BJ1297" s="70"/>
      <c r="BK1297" s="203">
        <f t="shared" si="58"/>
        <v>0</v>
      </c>
      <c r="BL1297" s="63"/>
      <c r="BM1297" s="71"/>
      <c r="BN1297" s="71"/>
      <c r="BO1297" s="71"/>
    </row>
    <row r="1298" spans="2:67" ht="18.95" customHeight="1">
      <c r="B1298" s="51" t="s">
        <v>112</v>
      </c>
      <c r="C1298" s="52" t="s">
        <v>1234</v>
      </c>
      <c r="D1298" s="53"/>
      <c r="E1298" s="223"/>
      <c r="F1298" s="66"/>
      <c r="G1298" s="66"/>
      <c r="H1298" s="66"/>
      <c r="I1298" s="66"/>
      <c r="J1298" s="66"/>
      <c r="K1298" s="66"/>
      <c r="L1298" s="66"/>
      <c r="M1298" s="66"/>
      <c r="N1298" s="67"/>
      <c r="O1298" s="66"/>
      <c r="P1298" s="66"/>
      <c r="Q1298" s="66"/>
      <c r="R1298" s="66"/>
      <c r="S1298" s="66"/>
      <c r="T1298" s="66"/>
      <c r="U1298" s="66"/>
      <c r="V1298" s="66"/>
      <c r="W1298" s="66"/>
      <c r="X1298" s="66"/>
      <c r="Y1298" s="66"/>
      <c r="Z1298" s="66"/>
      <c r="AA1298" s="66"/>
      <c r="AB1298" s="66"/>
      <c r="AC1298" s="66"/>
      <c r="AD1298" s="66"/>
      <c r="AE1298" s="66"/>
      <c r="AF1298" s="66"/>
      <c r="AG1298" s="66"/>
      <c r="AH1298" s="66"/>
      <c r="AI1298" s="66"/>
      <c r="AJ1298" s="66"/>
      <c r="AK1298" s="66"/>
      <c r="AL1298" s="66"/>
      <c r="AM1298" s="66"/>
      <c r="AN1298" s="66"/>
      <c r="AO1298" s="66"/>
      <c r="AP1298" s="66"/>
      <c r="AQ1298" s="66"/>
      <c r="AR1298" s="68"/>
      <c r="AS1298" s="66"/>
      <c r="AT1298" s="66"/>
      <c r="AU1298" s="66"/>
      <c r="AV1298" s="69"/>
      <c r="AW1298" s="69"/>
      <c r="AX1298" s="69"/>
      <c r="AY1298" s="69"/>
      <c r="AZ1298" s="69"/>
      <c r="BA1298" s="69"/>
      <c r="BB1298" s="69"/>
      <c r="BC1298" s="69"/>
      <c r="BD1298" s="69"/>
      <c r="BE1298" s="69"/>
      <c r="BF1298" s="55"/>
      <c r="BG1298" s="70"/>
      <c r="BH1298" s="63">
        <f t="shared" si="57"/>
        <v>0</v>
      </c>
      <c r="BI1298" s="63"/>
      <c r="BJ1298" s="70"/>
      <c r="BK1298" s="203">
        <f t="shared" si="58"/>
        <v>0</v>
      </c>
      <c r="BL1298" s="63"/>
      <c r="BM1298" s="71"/>
      <c r="BN1298" s="71"/>
      <c r="BO1298" s="71"/>
    </row>
    <row r="1299" spans="2:67" ht="18.95" customHeight="1">
      <c r="B1299" s="51" t="s">
        <v>114</v>
      </c>
      <c r="C1299" s="52" t="s">
        <v>1234</v>
      </c>
      <c r="D1299" s="53"/>
      <c r="E1299" s="223"/>
      <c r="F1299" s="66"/>
      <c r="G1299" s="66"/>
      <c r="H1299" s="66"/>
      <c r="I1299" s="66"/>
      <c r="J1299" s="66"/>
      <c r="K1299" s="66"/>
      <c r="L1299" s="66"/>
      <c r="M1299" s="66"/>
      <c r="N1299" s="67"/>
      <c r="O1299" s="66"/>
      <c r="P1299" s="66"/>
      <c r="Q1299" s="66"/>
      <c r="R1299" s="66"/>
      <c r="S1299" s="66"/>
      <c r="T1299" s="66"/>
      <c r="U1299" s="66"/>
      <c r="V1299" s="66"/>
      <c r="W1299" s="66"/>
      <c r="X1299" s="66"/>
      <c r="Y1299" s="66"/>
      <c r="Z1299" s="66"/>
      <c r="AA1299" s="66"/>
      <c r="AB1299" s="66"/>
      <c r="AC1299" s="66"/>
      <c r="AD1299" s="66"/>
      <c r="AE1299" s="66"/>
      <c r="AF1299" s="66"/>
      <c r="AG1299" s="66"/>
      <c r="AH1299" s="66"/>
      <c r="AI1299" s="66"/>
      <c r="AJ1299" s="66"/>
      <c r="AK1299" s="66"/>
      <c r="AL1299" s="66"/>
      <c r="AM1299" s="66"/>
      <c r="AN1299" s="66"/>
      <c r="AO1299" s="66"/>
      <c r="AP1299" s="66"/>
      <c r="AQ1299" s="66"/>
      <c r="AR1299" s="68"/>
      <c r="AS1299" s="66"/>
      <c r="AT1299" s="66"/>
      <c r="AU1299" s="66"/>
      <c r="AV1299" s="69"/>
      <c r="AW1299" s="69"/>
      <c r="AX1299" s="69"/>
      <c r="AY1299" s="69"/>
      <c r="AZ1299" s="69"/>
      <c r="BA1299" s="69"/>
      <c r="BB1299" s="69"/>
      <c r="BC1299" s="69"/>
      <c r="BD1299" s="69"/>
      <c r="BE1299" s="69"/>
      <c r="BF1299" s="55"/>
      <c r="BG1299" s="70"/>
      <c r="BH1299" s="63">
        <f t="shared" si="57"/>
        <v>0</v>
      </c>
      <c r="BI1299" s="63"/>
      <c r="BJ1299" s="70"/>
      <c r="BK1299" s="203">
        <f t="shared" si="58"/>
        <v>0</v>
      </c>
      <c r="BL1299" s="63"/>
      <c r="BM1299" s="71"/>
      <c r="BN1299" s="71"/>
      <c r="BO1299" s="71"/>
    </row>
    <row r="1300" spans="2:67" ht="18.75" customHeight="1">
      <c r="B1300" s="51" t="s">
        <v>116</v>
      </c>
      <c r="C1300" s="52" t="s">
        <v>1234</v>
      </c>
      <c r="D1300" s="53"/>
      <c r="E1300" s="223"/>
      <c r="F1300" s="66"/>
      <c r="G1300" s="66"/>
      <c r="H1300" s="66"/>
      <c r="I1300" s="66"/>
      <c r="J1300" s="66"/>
      <c r="K1300" s="66"/>
      <c r="L1300" s="66"/>
      <c r="M1300" s="66"/>
      <c r="N1300" s="67"/>
      <c r="O1300" s="66"/>
      <c r="P1300" s="66"/>
      <c r="Q1300" s="66"/>
      <c r="R1300" s="66"/>
      <c r="S1300" s="66"/>
      <c r="T1300" s="66"/>
      <c r="U1300" s="66"/>
      <c r="V1300" s="66"/>
      <c r="W1300" s="66"/>
      <c r="X1300" s="66"/>
      <c r="Y1300" s="66"/>
      <c r="Z1300" s="66"/>
      <c r="AA1300" s="66"/>
      <c r="AB1300" s="66"/>
      <c r="AC1300" s="66"/>
      <c r="AD1300" s="66"/>
      <c r="AE1300" s="66"/>
      <c r="AF1300" s="66"/>
      <c r="AG1300" s="66"/>
      <c r="AH1300" s="66"/>
      <c r="AI1300" s="66"/>
      <c r="AJ1300" s="66"/>
      <c r="AK1300" s="66"/>
      <c r="AL1300" s="66"/>
      <c r="AM1300" s="66"/>
      <c r="AN1300" s="66"/>
      <c r="AO1300" s="66"/>
      <c r="AP1300" s="66"/>
      <c r="AQ1300" s="66"/>
      <c r="AR1300" s="68"/>
      <c r="AS1300" s="66"/>
      <c r="AT1300" s="66"/>
      <c r="AU1300" s="66"/>
      <c r="AV1300" s="69"/>
      <c r="AW1300" s="69"/>
      <c r="AX1300" s="69"/>
      <c r="AY1300" s="69"/>
      <c r="AZ1300" s="69"/>
      <c r="BA1300" s="69"/>
      <c r="BB1300" s="69"/>
      <c r="BC1300" s="69"/>
      <c r="BD1300" s="69"/>
      <c r="BE1300" s="69"/>
      <c r="BF1300" s="55"/>
      <c r="BG1300" s="70"/>
      <c r="BH1300" s="63">
        <f t="shared" si="57"/>
        <v>0</v>
      </c>
      <c r="BI1300" s="63"/>
      <c r="BJ1300" s="70"/>
      <c r="BK1300" s="203">
        <f t="shared" si="58"/>
        <v>0</v>
      </c>
      <c r="BL1300" s="63"/>
      <c r="BM1300" s="71"/>
      <c r="BN1300" s="71"/>
      <c r="BO1300" s="71"/>
    </row>
    <row r="1301" spans="2:67" ht="18.95" customHeight="1">
      <c r="B1301" s="51" t="s">
        <v>118</v>
      </c>
      <c r="C1301" s="52" t="s">
        <v>1234</v>
      </c>
      <c r="D1301" s="53"/>
      <c r="E1301" s="223"/>
      <c r="F1301" s="66"/>
      <c r="G1301" s="66"/>
      <c r="H1301" s="66"/>
      <c r="I1301" s="66"/>
      <c r="J1301" s="66"/>
      <c r="K1301" s="66"/>
      <c r="L1301" s="66"/>
      <c r="M1301" s="66"/>
      <c r="N1301" s="67"/>
      <c r="O1301" s="66"/>
      <c r="P1301" s="66"/>
      <c r="Q1301" s="66"/>
      <c r="R1301" s="66"/>
      <c r="S1301" s="66"/>
      <c r="T1301" s="66"/>
      <c r="U1301" s="66"/>
      <c r="V1301" s="66"/>
      <c r="W1301" s="66"/>
      <c r="X1301" s="66"/>
      <c r="Y1301" s="66"/>
      <c r="Z1301" s="66"/>
      <c r="AA1301" s="66"/>
      <c r="AB1301" s="66"/>
      <c r="AC1301" s="66"/>
      <c r="AD1301" s="66"/>
      <c r="AE1301" s="66"/>
      <c r="AF1301" s="66"/>
      <c r="AG1301" s="66"/>
      <c r="AH1301" s="66"/>
      <c r="AI1301" s="66"/>
      <c r="AJ1301" s="66"/>
      <c r="AK1301" s="66"/>
      <c r="AL1301" s="66"/>
      <c r="AM1301" s="66"/>
      <c r="AN1301" s="66"/>
      <c r="AO1301" s="66"/>
      <c r="AP1301" s="66"/>
      <c r="AQ1301" s="66"/>
      <c r="AR1301" s="68"/>
      <c r="AS1301" s="66"/>
      <c r="AT1301" s="66"/>
      <c r="AU1301" s="66"/>
      <c r="AV1301" s="69"/>
      <c r="AW1301" s="69"/>
      <c r="AX1301" s="69"/>
      <c r="AY1301" s="69"/>
      <c r="AZ1301" s="69"/>
      <c r="BA1301" s="69"/>
      <c r="BB1301" s="69"/>
      <c r="BC1301" s="69"/>
      <c r="BD1301" s="69"/>
      <c r="BE1301" s="69"/>
      <c r="BF1301" s="55"/>
      <c r="BG1301" s="70"/>
      <c r="BH1301" s="63">
        <f t="shared" si="57"/>
        <v>0</v>
      </c>
      <c r="BI1301" s="63"/>
      <c r="BJ1301" s="70"/>
      <c r="BK1301" s="203">
        <f t="shared" si="58"/>
        <v>0</v>
      </c>
      <c r="BL1301" s="63"/>
      <c r="BM1301" s="71"/>
      <c r="BN1301" s="71"/>
      <c r="BO1301" s="71"/>
    </row>
    <row r="1302" spans="2:67" ht="18.95" customHeight="1">
      <c r="B1302" s="51" t="s">
        <v>120</v>
      </c>
      <c r="C1302" s="52" t="s">
        <v>1234</v>
      </c>
      <c r="D1302" s="53"/>
      <c r="E1302" s="223"/>
      <c r="F1302" s="66"/>
      <c r="G1302" s="66"/>
      <c r="H1302" s="66"/>
      <c r="I1302" s="66"/>
      <c r="J1302" s="66"/>
      <c r="K1302" s="66"/>
      <c r="L1302" s="66"/>
      <c r="M1302" s="66"/>
      <c r="N1302" s="67"/>
      <c r="O1302" s="66"/>
      <c r="P1302" s="66"/>
      <c r="Q1302" s="66"/>
      <c r="R1302" s="66"/>
      <c r="S1302" s="66"/>
      <c r="T1302" s="66"/>
      <c r="U1302" s="66"/>
      <c r="V1302" s="66"/>
      <c r="W1302" s="66"/>
      <c r="X1302" s="66"/>
      <c r="Y1302" s="66"/>
      <c r="Z1302" s="66"/>
      <c r="AA1302" s="66"/>
      <c r="AB1302" s="66"/>
      <c r="AC1302" s="66"/>
      <c r="AD1302" s="66"/>
      <c r="AE1302" s="66"/>
      <c r="AF1302" s="66"/>
      <c r="AG1302" s="66"/>
      <c r="AH1302" s="66"/>
      <c r="AI1302" s="66"/>
      <c r="AJ1302" s="66"/>
      <c r="AK1302" s="66"/>
      <c r="AL1302" s="66"/>
      <c r="AM1302" s="66"/>
      <c r="AN1302" s="66"/>
      <c r="AO1302" s="66"/>
      <c r="AP1302" s="66"/>
      <c r="AQ1302" s="66"/>
      <c r="AR1302" s="68"/>
      <c r="AS1302" s="66"/>
      <c r="AT1302" s="66"/>
      <c r="AU1302" s="66"/>
      <c r="AV1302" s="69"/>
      <c r="AW1302" s="69"/>
      <c r="AX1302" s="69"/>
      <c r="AY1302" s="69"/>
      <c r="AZ1302" s="69"/>
      <c r="BA1302" s="69"/>
      <c r="BB1302" s="69"/>
      <c r="BC1302" s="69"/>
      <c r="BD1302" s="69"/>
      <c r="BE1302" s="69"/>
      <c r="BF1302" s="55"/>
      <c r="BG1302" s="70"/>
      <c r="BH1302" s="63">
        <f t="shared" si="57"/>
        <v>0</v>
      </c>
      <c r="BI1302" s="63"/>
      <c r="BJ1302" s="70"/>
      <c r="BK1302" s="203">
        <f t="shared" si="58"/>
        <v>0</v>
      </c>
      <c r="BL1302" s="63"/>
      <c r="BM1302" s="71"/>
      <c r="BN1302" s="71"/>
      <c r="BO1302" s="71"/>
    </row>
    <row r="1303" spans="2:67" ht="18.95" customHeight="1">
      <c r="B1303" s="51" t="s">
        <v>122</v>
      </c>
      <c r="C1303" s="52" t="s">
        <v>1234</v>
      </c>
      <c r="D1303" s="53"/>
      <c r="E1303" s="227"/>
      <c r="F1303" s="66"/>
      <c r="G1303" s="66"/>
      <c r="H1303" s="66"/>
      <c r="I1303" s="66"/>
      <c r="J1303" s="66"/>
      <c r="K1303" s="66"/>
      <c r="L1303" s="66"/>
      <c r="M1303" s="66"/>
      <c r="N1303" s="67"/>
      <c r="O1303" s="66"/>
      <c r="P1303" s="66"/>
      <c r="Q1303" s="66"/>
      <c r="R1303" s="66"/>
      <c r="S1303" s="66"/>
      <c r="T1303" s="66"/>
      <c r="U1303" s="66"/>
      <c r="V1303" s="66"/>
      <c r="W1303" s="66"/>
      <c r="X1303" s="66"/>
      <c r="Y1303" s="66"/>
      <c r="Z1303" s="66"/>
      <c r="AA1303" s="66"/>
      <c r="AB1303" s="66"/>
      <c r="AC1303" s="66"/>
      <c r="AD1303" s="66"/>
      <c r="AE1303" s="66"/>
      <c r="AF1303" s="66"/>
      <c r="AG1303" s="66"/>
      <c r="AH1303" s="66"/>
      <c r="AI1303" s="66"/>
      <c r="AJ1303" s="66"/>
      <c r="AK1303" s="66"/>
      <c r="AL1303" s="75"/>
      <c r="AM1303" s="66"/>
      <c r="AN1303" s="66"/>
      <c r="AO1303" s="66"/>
      <c r="AP1303" s="66"/>
      <c r="AQ1303" s="66"/>
      <c r="AR1303" s="68"/>
      <c r="AS1303" s="66"/>
      <c r="AT1303" s="66"/>
      <c r="AU1303" s="66"/>
      <c r="AV1303" s="69"/>
      <c r="AW1303" s="69"/>
      <c r="AX1303" s="69"/>
      <c r="AY1303" s="69"/>
      <c r="AZ1303" s="69"/>
      <c r="BA1303" s="69"/>
      <c r="BB1303" s="69"/>
      <c r="BC1303" s="69"/>
      <c r="BD1303" s="69"/>
      <c r="BE1303" s="69"/>
      <c r="BF1303" s="55"/>
      <c r="BG1303" s="70"/>
      <c r="BH1303" s="63">
        <f t="shared" si="57"/>
        <v>0</v>
      </c>
      <c r="BI1303" s="63"/>
      <c r="BJ1303" s="70"/>
      <c r="BK1303" s="203">
        <f t="shared" si="58"/>
        <v>0</v>
      </c>
      <c r="BL1303" s="63"/>
      <c r="BM1303" s="71"/>
      <c r="BN1303" s="71"/>
      <c r="BO1303" s="71"/>
    </row>
    <row r="1304" spans="2:67" ht="18.95" customHeight="1">
      <c r="B1304" s="51" t="s">
        <v>124</v>
      </c>
      <c r="C1304" s="52" t="s">
        <v>1234</v>
      </c>
      <c r="D1304" s="53"/>
      <c r="E1304" s="228"/>
      <c r="F1304" s="66"/>
      <c r="G1304" s="66"/>
      <c r="H1304" s="66"/>
      <c r="I1304" s="66"/>
      <c r="J1304" s="66"/>
      <c r="K1304" s="66"/>
      <c r="L1304" s="66"/>
      <c r="M1304" s="66"/>
      <c r="N1304" s="67"/>
      <c r="O1304" s="66"/>
      <c r="P1304" s="66"/>
      <c r="Q1304" s="66"/>
      <c r="R1304" s="66"/>
      <c r="S1304" s="66"/>
      <c r="T1304" s="66"/>
      <c r="U1304" s="66"/>
      <c r="V1304" s="66"/>
      <c r="W1304" s="66"/>
      <c r="X1304" s="66"/>
      <c r="Y1304" s="66"/>
      <c r="Z1304" s="66"/>
      <c r="AA1304" s="66"/>
      <c r="AB1304" s="66"/>
      <c r="AC1304" s="66"/>
      <c r="AD1304" s="66"/>
      <c r="AE1304" s="66"/>
      <c r="AF1304" s="66"/>
      <c r="AG1304" s="66"/>
      <c r="AH1304" s="66"/>
      <c r="AI1304" s="66"/>
      <c r="AJ1304" s="66"/>
      <c r="AK1304" s="66"/>
      <c r="AL1304" s="75"/>
      <c r="AM1304" s="66"/>
      <c r="AN1304" s="66"/>
      <c r="AO1304" s="66"/>
      <c r="AP1304" s="66"/>
      <c r="AQ1304" s="66"/>
      <c r="AR1304" s="68"/>
      <c r="AS1304" s="66"/>
      <c r="AT1304" s="66"/>
      <c r="AU1304" s="66"/>
      <c r="AV1304" s="69"/>
      <c r="AW1304" s="69"/>
      <c r="AX1304" s="69"/>
      <c r="AY1304" s="69"/>
      <c r="AZ1304" s="69"/>
      <c r="BA1304" s="69"/>
      <c r="BB1304" s="69"/>
      <c r="BC1304" s="69"/>
      <c r="BD1304" s="69"/>
      <c r="BE1304" s="69"/>
      <c r="BF1304" s="55"/>
      <c r="BG1304" s="70"/>
      <c r="BH1304" s="63">
        <f t="shared" si="57"/>
        <v>0</v>
      </c>
      <c r="BI1304" s="63"/>
      <c r="BJ1304" s="70"/>
      <c r="BK1304" s="203">
        <f t="shared" si="58"/>
        <v>0</v>
      </c>
      <c r="BL1304" s="63"/>
      <c r="BM1304" s="71"/>
      <c r="BN1304" s="71"/>
      <c r="BO1304" s="71"/>
    </row>
    <row r="1305" spans="2:67" ht="18.95" customHeight="1">
      <c r="B1305" s="51" t="s">
        <v>126</v>
      </c>
      <c r="C1305" s="52" t="s">
        <v>1234</v>
      </c>
      <c r="D1305" s="53"/>
      <c r="E1305" s="224"/>
      <c r="F1305" s="66"/>
      <c r="G1305" s="66"/>
      <c r="H1305" s="66"/>
      <c r="I1305" s="66"/>
      <c r="J1305" s="66"/>
      <c r="K1305" s="66"/>
      <c r="L1305" s="66"/>
      <c r="M1305" s="66"/>
      <c r="N1305" s="67"/>
      <c r="O1305" s="66"/>
      <c r="P1305" s="66"/>
      <c r="Q1305" s="66"/>
      <c r="R1305" s="66"/>
      <c r="S1305" s="66"/>
      <c r="T1305" s="66"/>
      <c r="U1305" s="66"/>
      <c r="V1305" s="66"/>
      <c r="W1305" s="66"/>
      <c r="X1305" s="66"/>
      <c r="Y1305" s="66"/>
      <c r="Z1305" s="66"/>
      <c r="AA1305" s="66"/>
      <c r="AB1305" s="66"/>
      <c r="AC1305" s="66"/>
      <c r="AD1305" s="66"/>
      <c r="AE1305" s="66"/>
      <c r="AF1305" s="66"/>
      <c r="AG1305" s="66"/>
      <c r="AH1305" s="66"/>
      <c r="AI1305" s="66"/>
      <c r="AJ1305" s="66"/>
      <c r="AK1305" s="66"/>
      <c r="AL1305" s="66"/>
      <c r="AM1305" s="66"/>
      <c r="AN1305" s="66"/>
      <c r="AO1305" s="66"/>
      <c r="AP1305" s="66"/>
      <c r="AQ1305" s="66"/>
      <c r="AR1305" s="68"/>
      <c r="AS1305" s="66"/>
      <c r="AT1305" s="66"/>
      <c r="AU1305" s="66"/>
      <c r="AV1305" s="69"/>
      <c r="AW1305" s="69"/>
      <c r="AX1305" s="69"/>
      <c r="AY1305" s="69"/>
      <c r="AZ1305" s="69"/>
      <c r="BA1305" s="69"/>
      <c r="BB1305" s="69"/>
      <c r="BC1305" s="69"/>
      <c r="BD1305" s="69"/>
      <c r="BE1305" s="69"/>
      <c r="BF1305" s="55"/>
      <c r="BG1305" s="70"/>
      <c r="BH1305" s="63">
        <f t="shared" si="57"/>
        <v>0</v>
      </c>
      <c r="BI1305" s="63"/>
      <c r="BJ1305" s="70"/>
      <c r="BK1305" s="203">
        <f t="shared" si="58"/>
        <v>0</v>
      </c>
      <c r="BL1305" s="63"/>
      <c r="BM1305" s="71"/>
      <c r="BN1305" s="65"/>
      <c r="BO1305" s="65"/>
    </row>
    <row r="1306" spans="2:67" ht="18.95" customHeight="1">
      <c r="B1306" s="51" t="s">
        <v>128</v>
      </c>
      <c r="C1306" s="52" t="s">
        <v>1234</v>
      </c>
      <c r="D1306" s="53"/>
      <c r="E1306" s="207"/>
      <c r="F1306" s="55"/>
      <c r="G1306" s="66"/>
      <c r="H1306" s="66"/>
      <c r="I1306" s="66"/>
      <c r="J1306" s="66"/>
      <c r="K1306" s="66"/>
      <c r="L1306" s="66"/>
      <c r="M1306" s="66"/>
      <c r="N1306" s="67"/>
      <c r="O1306" s="66"/>
      <c r="P1306" s="66"/>
      <c r="Q1306" s="66"/>
      <c r="R1306" s="66"/>
      <c r="S1306" s="66"/>
      <c r="T1306" s="66"/>
      <c r="U1306" s="66"/>
      <c r="V1306" s="66"/>
      <c r="W1306" s="66"/>
      <c r="X1306" s="66"/>
      <c r="Y1306" s="66"/>
      <c r="Z1306" s="66"/>
      <c r="AA1306" s="66"/>
      <c r="AB1306" s="66"/>
      <c r="AC1306" s="66"/>
      <c r="AD1306" s="66"/>
      <c r="AE1306" s="66"/>
      <c r="AF1306" s="66"/>
      <c r="AG1306" s="66"/>
      <c r="AH1306" s="66"/>
      <c r="AI1306" s="66"/>
      <c r="AJ1306" s="66"/>
      <c r="AK1306" s="66"/>
      <c r="AL1306" s="75"/>
      <c r="AM1306" s="66"/>
      <c r="AN1306" s="66"/>
      <c r="AO1306" s="66"/>
      <c r="AP1306" s="66"/>
      <c r="AQ1306" s="66"/>
      <c r="AR1306" s="68"/>
      <c r="AS1306" s="66"/>
      <c r="AT1306" s="66"/>
      <c r="AU1306" s="66"/>
      <c r="AV1306" s="69"/>
      <c r="AW1306" s="69"/>
      <c r="AX1306" s="69"/>
      <c r="AY1306" s="69"/>
      <c r="AZ1306" s="69"/>
      <c r="BA1306" s="69"/>
      <c r="BB1306" s="69"/>
      <c r="BC1306" s="69"/>
      <c r="BD1306" s="69"/>
      <c r="BE1306" s="69"/>
      <c r="BF1306" s="55"/>
      <c r="BG1306" s="70"/>
      <c r="BH1306" s="63">
        <f t="shared" si="57"/>
        <v>0</v>
      </c>
      <c r="BI1306" s="63"/>
      <c r="BJ1306" s="70"/>
      <c r="BK1306" s="203">
        <f t="shared" si="58"/>
        <v>0</v>
      </c>
      <c r="BL1306" s="63"/>
      <c r="BM1306" s="71"/>
      <c r="BN1306" s="65"/>
      <c r="BO1306" s="65"/>
    </row>
    <row r="1307" spans="2:67" ht="18.95" customHeight="1">
      <c r="B1307" s="51" t="s">
        <v>130</v>
      </c>
      <c r="C1307" s="52" t="s">
        <v>1234</v>
      </c>
      <c r="D1307" s="53"/>
      <c r="E1307" s="207"/>
      <c r="F1307" s="66"/>
      <c r="G1307" s="66"/>
      <c r="H1307" s="66"/>
      <c r="I1307" s="66"/>
      <c r="J1307" s="66"/>
      <c r="K1307" s="66"/>
      <c r="L1307" s="66"/>
      <c r="M1307" s="66"/>
      <c r="N1307" s="67"/>
      <c r="O1307" s="66"/>
      <c r="P1307" s="66"/>
      <c r="Q1307" s="66"/>
      <c r="R1307" s="66"/>
      <c r="S1307" s="66"/>
      <c r="T1307" s="66"/>
      <c r="U1307" s="66"/>
      <c r="V1307" s="66"/>
      <c r="W1307" s="66"/>
      <c r="X1307" s="66"/>
      <c r="Y1307" s="66"/>
      <c r="Z1307" s="66"/>
      <c r="AA1307" s="66"/>
      <c r="AB1307" s="66"/>
      <c r="AC1307" s="66"/>
      <c r="AD1307" s="66"/>
      <c r="AE1307" s="66"/>
      <c r="AF1307" s="66"/>
      <c r="AG1307" s="66"/>
      <c r="AH1307" s="66"/>
      <c r="AI1307" s="66"/>
      <c r="AJ1307" s="66"/>
      <c r="AK1307" s="66"/>
      <c r="AL1307" s="66"/>
      <c r="AM1307" s="66"/>
      <c r="AN1307" s="66"/>
      <c r="AO1307" s="66"/>
      <c r="AP1307" s="66"/>
      <c r="AQ1307" s="66"/>
      <c r="AR1307" s="68"/>
      <c r="AS1307" s="66"/>
      <c r="AT1307" s="66"/>
      <c r="AU1307" s="66"/>
      <c r="AV1307" s="69"/>
      <c r="AW1307" s="69"/>
      <c r="AX1307" s="69"/>
      <c r="AY1307" s="69"/>
      <c r="AZ1307" s="69"/>
      <c r="BA1307" s="69"/>
      <c r="BB1307" s="69"/>
      <c r="BC1307" s="69"/>
      <c r="BD1307" s="69"/>
      <c r="BE1307" s="69"/>
      <c r="BF1307" s="55"/>
      <c r="BG1307" s="70"/>
      <c r="BH1307" s="63">
        <f t="shared" si="57"/>
        <v>0</v>
      </c>
      <c r="BI1307" s="63"/>
      <c r="BJ1307" s="70"/>
      <c r="BK1307" s="203">
        <f t="shared" si="58"/>
        <v>0</v>
      </c>
      <c r="BL1307" s="63"/>
      <c r="BM1307" s="71"/>
      <c r="BN1307" s="71"/>
      <c r="BO1307" s="71"/>
    </row>
    <row r="1308" spans="2:67" ht="18.95" customHeight="1">
      <c r="B1308" s="51" t="s">
        <v>132</v>
      </c>
      <c r="C1308" s="52" t="s">
        <v>1234</v>
      </c>
      <c r="D1308" s="53"/>
      <c r="E1308" s="149"/>
      <c r="F1308" s="55"/>
      <c r="G1308" s="55"/>
      <c r="H1308" s="55"/>
      <c r="I1308" s="55"/>
      <c r="J1308" s="55"/>
      <c r="K1308" s="55"/>
      <c r="L1308" s="55"/>
      <c r="M1308" s="55"/>
      <c r="N1308" s="56"/>
      <c r="O1308" s="55"/>
      <c r="P1308" s="55"/>
      <c r="Q1308" s="55"/>
      <c r="R1308" s="55"/>
      <c r="S1308" s="55"/>
      <c r="T1308" s="55"/>
      <c r="U1308" s="55"/>
      <c r="V1308" s="55"/>
      <c r="W1308" s="55"/>
      <c r="X1308" s="55"/>
      <c r="Y1308" s="55"/>
      <c r="Z1308" s="55"/>
      <c r="AA1308" s="55"/>
      <c r="AB1308" s="55"/>
      <c r="AC1308" s="55"/>
      <c r="AD1308" s="55"/>
      <c r="AE1308" s="55"/>
      <c r="AF1308" s="55"/>
      <c r="AG1308" s="55"/>
      <c r="AH1308" s="55"/>
      <c r="AI1308" s="55"/>
      <c r="AJ1308" s="55"/>
      <c r="AK1308" s="55"/>
      <c r="AL1308" s="55"/>
      <c r="AM1308" s="55"/>
      <c r="AN1308" s="55"/>
      <c r="AO1308" s="55"/>
      <c r="AP1308" s="55"/>
      <c r="AQ1308" s="55"/>
      <c r="AR1308" s="76"/>
      <c r="AS1308" s="55"/>
      <c r="AT1308" s="55"/>
      <c r="AU1308" s="55"/>
      <c r="AV1308" s="55"/>
      <c r="AW1308" s="55"/>
      <c r="AX1308" s="55"/>
      <c r="AY1308" s="55"/>
      <c r="AZ1308" s="55"/>
      <c r="BA1308" s="55"/>
      <c r="BB1308" s="55"/>
      <c r="BC1308" s="55"/>
      <c r="BD1308" s="55"/>
      <c r="BE1308" s="55"/>
      <c r="BF1308" s="55"/>
      <c r="BG1308" s="70"/>
      <c r="BH1308" s="63">
        <f t="shared" si="57"/>
        <v>0</v>
      </c>
      <c r="BI1308" s="63"/>
      <c r="BJ1308" s="70"/>
      <c r="BK1308" s="203">
        <f t="shared" si="58"/>
        <v>0</v>
      </c>
      <c r="BL1308" s="63"/>
      <c r="BM1308" s="71"/>
      <c r="BN1308" s="65"/>
      <c r="BO1308" s="65"/>
    </row>
    <row r="1321" spans="2:67">
      <c r="B1321" s="2" t="s">
        <v>1</v>
      </c>
      <c r="C1321" s="2"/>
      <c r="D1321" s="2"/>
      <c r="E1321" s="2"/>
      <c r="F1321" s="3"/>
      <c r="G1321" s="4"/>
      <c r="H1321" s="4"/>
      <c r="I1321" s="4"/>
      <c r="J1321" s="4"/>
      <c r="K1321" s="4"/>
      <c r="L1321" s="4"/>
      <c r="M1321" s="4"/>
      <c r="N1321" s="107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5"/>
      <c r="AE1321" s="5"/>
      <c r="AF1321" s="5"/>
      <c r="AG1321" s="5"/>
      <c r="AH1321" s="5"/>
      <c r="AI1321" s="5"/>
      <c r="AJ1321" s="5"/>
      <c r="AK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7"/>
      <c r="BI1321" s="7"/>
      <c r="BJ1321" s="5"/>
      <c r="BK1321" s="5"/>
      <c r="BM1321" s="5"/>
      <c r="BN1321" s="5"/>
      <c r="BO1321" s="5"/>
    </row>
    <row r="1322" spans="2:67" ht="18.75">
      <c r="B1322" s="2"/>
      <c r="C1322" s="2"/>
      <c r="D1322" s="2"/>
      <c r="E1322" s="2"/>
      <c r="F1322" s="139" t="s">
        <v>1238</v>
      </c>
      <c r="G1322" s="139"/>
      <c r="H1322" s="139"/>
      <c r="I1322" s="139"/>
      <c r="J1322" s="139"/>
      <c r="K1322" s="139"/>
      <c r="L1322" s="139"/>
      <c r="M1322" s="139"/>
      <c r="N1322" s="139"/>
      <c r="O1322" s="139"/>
      <c r="P1322" s="139"/>
      <c r="Q1322" s="139"/>
      <c r="R1322" s="139"/>
      <c r="S1322" s="139"/>
      <c r="T1322" s="139"/>
      <c r="U1322" s="139"/>
      <c r="V1322" s="139"/>
      <c r="W1322" s="139"/>
      <c r="X1322" s="139"/>
      <c r="Y1322" s="140"/>
      <c r="Z1322" s="140"/>
      <c r="AA1322" s="140"/>
      <c r="AB1322" s="140"/>
      <c r="AC1322" s="140"/>
      <c r="AD1322" s="140"/>
      <c r="AE1322" s="141"/>
      <c r="AF1322" s="8"/>
      <c r="AG1322" s="8"/>
      <c r="AH1322" s="8"/>
      <c r="AI1322" s="8"/>
      <c r="AJ1322" s="8"/>
      <c r="AK1322" s="8"/>
      <c r="AL1322" s="142"/>
      <c r="AM1322" s="8"/>
      <c r="AN1322" s="8"/>
      <c r="AO1322" s="8"/>
      <c r="AP1322" s="8"/>
      <c r="AQ1322" s="8"/>
      <c r="AR1322" s="143"/>
      <c r="AS1322" s="8"/>
      <c r="AT1322" s="8"/>
      <c r="AU1322" s="8"/>
      <c r="AV1322" s="8"/>
      <c r="AW1322" s="8"/>
      <c r="AX1322" s="8"/>
      <c r="AY1322" s="8"/>
      <c r="AZ1322" s="8"/>
      <c r="BA1322" s="8"/>
      <c r="BB1322" s="8"/>
      <c r="BC1322" s="8"/>
      <c r="BD1322" s="8"/>
      <c r="BE1322" s="8"/>
      <c r="BF1322" s="9" t="s">
        <v>1239</v>
      </c>
      <c r="BG1322" s="10"/>
      <c r="BH1322" s="10"/>
      <c r="BI1322" s="10"/>
      <c r="BJ1322" s="10"/>
      <c r="BK1322" s="10"/>
      <c r="BL1322" s="10"/>
      <c r="BM1322" s="10"/>
      <c r="BN1322" s="10"/>
      <c r="BO1322" s="11"/>
    </row>
    <row r="1323" spans="2:67">
      <c r="B1323" s="12"/>
      <c r="C1323" s="12"/>
      <c r="D1323" s="12"/>
      <c r="E1323" s="12"/>
      <c r="F1323" s="13"/>
      <c r="G1323" s="14" t="s">
        <v>1240</v>
      </c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6"/>
      <c r="AM1323" s="15"/>
      <c r="AN1323" s="15"/>
      <c r="AO1323" s="15"/>
      <c r="AP1323" s="15"/>
      <c r="AQ1323" s="15"/>
      <c r="AR1323" s="17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8"/>
      <c r="BM1323" s="15"/>
      <c r="BN1323" s="15"/>
      <c r="BO1323" s="15"/>
    </row>
    <row r="1324" spans="2:67" ht="15">
      <c r="B1324" s="19" t="s">
        <v>4</v>
      </c>
      <c r="C1324" s="20" t="s">
        <v>5</v>
      </c>
      <c r="D1324" s="20"/>
      <c r="E1324" s="205" t="s">
        <v>6</v>
      </c>
      <c r="F1324" s="110" t="s">
        <v>135</v>
      </c>
      <c r="G1324" s="111"/>
      <c r="H1324" s="111"/>
      <c r="I1324" s="111"/>
      <c r="J1324" s="111"/>
      <c r="K1324" s="111"/>
      <c r="L1324" s="111"/>
      <c r="M1324" s="111"/>
      <c r="N1324" s="111"/>
      <c r="O1324" s="111"/>
      <c r="P1324" s="111"/>
      <c r="Q1324" s="111"/>
      <c r="R1324" s="111"/>
      <c r="S1324" s="111"/>
      <c r="T1324" s="111"/>
      <c r="U1324" s="111"/>
      <c r="V1324" s="111"/>
      <c r="W1324" s="111"/>
      <c r="X1324" s="111"/>
      <c r="Y1324" s="111"/>
      <c r="Z1324" s="111"/>
      <c r="AA1324" s="111"/>
      <c r="AB1324" s="111"/>
      <c r="AC1324" s="111"/>
      <c r="AD1324" s="111"/>
      <c r="AE1324" s="111"/>
      <c r="AF1324" s="111"/>
      <c r="AG1324" s="111"/>
      <c r="AH1324" s="111"/>
      <c r="AI1324" s="111"/>
      <c r="AJ1324" s="111"/>
      <c r="AK1324" s="111"/>
      <c r="AL1324" s="111"/>
      <c r="AM1324" s="111"/>
      <c r="AN1324" s="111"/>
      <c r="AO1324" s="111"/>
      <c r="AP1324" s="111"/>
      <c r="AQ1324" s="111"/>
      <c r="AR1324" s="111"/>
      <c r="AS1324" s="111"/>
      <c r="AT1324" s="111"/>
      <c r="AU1324" s="111"/>
      <c r="AV1324" s="111"/>
      <c r="AW1324" s="111"/>
      <c r="AX1324" s="111"/>
      <c r="AY1324" s="111"/>
      <c r="AZ1324" s="111"/>
      <c r="BA1324" s="111"/>
      <c r="BB1324" s="111"/>
      <c r="BC1324" s="111"/>
      <c r="BD1324" s="111"/>
      <c r="BE1324" s="111"/>
      <c r="BF1324" s="24" t="s">
        <v>8</v>
      </c>
      <c r="BG1324" s="25"/>
      <c r="BH1324" s="25"/>
      <c r="BI1324" s="26"/>
      <c r="BJ1324" s="31" t="s">
        <v>9</v>
      </c>
      <c r="BK1324" s="32"/>
      <c r="BL1324" s="29"/>
      <c r="BM1324" s="30"/>
      <c r="BN1324" s="31" t="s">
        <v>10</v>
      </c>
      <c r="BO1324" s="32"/>
    </row>
    <row r="1325" spans="2:67" ht="110.1" customHeight="1">
      <c r="B1325" s="33"/>
      <c r="C1325" s="34" t="s">
        <v>11</v>
      </c>
      <c r="D1325" s="35" t="s">
        <v>4</v>
      </c>
      <c r="E1325" s="35" t="s">
        <v>12</v>
      </c>
      <c r="F1325" s="36" t="s">
        <v>13</v>
      </c>
      <c r="G1325" s="36" t="s">
        <v>14</v>
      </c>
      <c r="H1325" s="36" t="s">
        <v>15</v>
      </c>
      <c r="I1325" s="36" t="s">
        <v>16</v>
      </c>
      <c r="J1325" s="36" t="s">
        <v>17</v>
      </c>
      <c r="K1325" s="36" t="s">
        <v>18</v>
      </c>
      <c r="L1325" s="36" t="s">
        <v>19</v>
      </c>
      <c r="M1325" s="36" t="s">
        <v>20</v>
      </c>
      <c r="N1325" s="37" t="s">
        <v>21</v>
      </c>
      <c r="O1325" s="36" t="s">
        <v>22</v>
      </c>
      <c r="P1325" s="36" t="s">
        <v>23</v>
      </c>
      <c r="Q1325" s="36" t="s">
        <v>24</v>
      </c>
      <c r="R1325" s="36" t="s">
        <v>25</v>
      </c>
      <c r="S1325" s="36" t="s">
        <v>26</v>
      </c>
      <c r="T1325" s="36" t="s">
        <v>27</v>
      </c>
      <c r="U1325" s="36" t="s">
        <v>28</v>
      </c>
      <c r="V1325" s="36" t="s">
        <v>29</v>
      </c>
      <c r="W1325" s="36" t="s">
        <v>30</v>
      </c>
      <c r="X1325" s="38" t="s">
        <v>31</v>
      </c>
      <c r="Y1325" s="36" t="s">
        <v>32</v>
      </c>
      <c r="Z1325" s="36" t="s">
        <v>33</v>
      </c>
      <c r="AA1325" s="36" t="s">
        <v>34</v>
      </c>
      <c r="AB1325" s="38" t="s">
        <v>35</v>
      </c>
      <c r="AC1325" s="36" t="s">
        <v>36</v>
      </c>
      <c r="AD1325" s="39" t="s">
        <v>37</v>
      </c>
      <c r="AE1325" s="36" t="s">
        <v>38</v>
      </c>
      <c r="AF1325" s="40" t="s">
        <v>39</v>
      </c>
      <c r="AG1325" s="40" t="s">
        <v>40</v>
      </c>
      <c r="AH1325" s="40" t="s">
        <v>41</v>
      </c>
      <c r="AI1325" s="40" t="s">
        <v>42</v>
      </c>
      <c r="AJ1325" s="40" t="s">
        <v>43</v>
      </c>
      <c r="AK1325" s="40" t="s">
        <v>44</v>
      </c>
      <c r="AL1325" s="41" t="s">
        <v>45</v>
      </c>
      <c r="AM1325" s="42" t="s">
        <v>46</v>
      </c>
      <c r="AN1325" s="43" t="s">
        <v>47</v>
      </c>
      <c r="AO1325" s="40" t="s">
        <v>48</v>
      </c>
      <c r="AP1325" s="40" t="s">
        <v>49</v>
      </c>
      <c r="AQ1325" s="40" t="s">
        <v>50</v>
      </c>
      <c r="AR1325" s="44" t="s">
        <v>136</v>
      </c>
      <c r="AS1325" s="36" t="s">
        <v>52</v>
      </c>
      <c r="AT1325" s="36" t="s">
        <v>53</v>
      </c>
      <c r="AU1325" s="36" t="s">
        <v>54</v>
      </c>
      <c r="AV1325" s="36" t="s">
        <v>55</v>
      </c>
      <c r="AW1325" s="36" t="s">
        <v>56</v>
      </c>
      <c r="AX1325" s="36" t="s">
        <v>203</v>
      </c>
      <c r="AY1325" s="36" t="s">
        <v>58</v>
      </c>
      <c r="AZ1325" s="38" t="s">
        <v>59</v>
      </c>
      <c r="BA1325" s="36" t="s">
        <v>60</v>
      </c>
      <c r="BB1325" s="36" t="s">
        <v>1241</v>
      </c>
      <c r="BC1325" s="39" t="s">
        <v>62</v>
      </c>
      <c r="BD1325" s="36" t="s">
        <v>63</v>
      </c>
      <c r="BE1325" s="36" t="s">
        <v>64</v>
      </c>
      <c r="BF1325" s="45" t="s">
        <v>65</v>
      </c>
      <c r="BG1325" s="45" t="s">
        <v>66</v>
      </c>
      <c r="BH1325" s="45" t="s">
        <v>67</v>
      </c>
      <c r="BI1325" s="45" t="s">
        <v>68</v>
      </c>
      <c r="BJ1325" s="46" t="s">
        <v>69</v>
      </c>
      <c r="BK1325" s="46" t="s">
        <v>70</v>
      </c>
      <c r="BL1325" s="47" t="s">
        <v>71</v>
      </c>
      <c r="BM1325" s="48" t="s">
        <v>72</v>
      </c>
      <c r="BN1325" s="49" t="s">
        <v>69</v>
      </c>
      <c r="BO1325" s="50" t="s">
        <v>70</v>
      </c>
    </row>
    <row r="1326" spans="2:67" ht="18.95" customHeight="1">
      <c r="B1326" s="51" t="s">
        <v>73</v>
      </c>
      <c r="C1326" s="52" t="s">
        <v>1242</v>
      </c>
      <c r="D1326" s="53" t="s">
        <v>73</v>
      </c>
      <c r="E1326" s="148" t="s">
        <v>1243</v>
      </c>
      <c r="F1326" s="55"/>
      <c r="G1326" s="55"/>
      <c r="H1326" s="55"/>
      <c r="I1326" s="55"/>
      <c r="J1326" s="55"/>
      <c r="K1326" s="55"/>
      <c r="L1326" s="55"/>
      <c r="M1326" s="55"/>
      <c r="N1326" s="56"/>
      <c r="O1326" s="55"/>
      <c r="P1326" s="55"/>
      <c r="Q1326" s="57"/>
      <c r="R1326" s="55"/>
      <c r="S1326" s="58"/>
      <c r="T1326" s="58"/>
      <c r="U1326" s="55"/>
      <c r="V1326" s="55"/>
      <c r="W1326" s="55"/>
      <c r="X1326" s="55"/>
      <c r="Y1326" s="55"/>
      <c r="Z1326" s="55"/>
      <c r="AA1326" s="55"/>
      <c r="AB1326" s="55"/>
      <c r="AC1326" s="55"/>
      <c r="AD1326" s="55"/>
      <c r="AE1326" s="57"/>
      <c r="AF1326" s="57"/>
      <c r="AG1326" s="57"/>
      <c r="AH1326" s="57"/>
      <c r="AI1326" s="57"/>
      <c r="AJ1326" s="57"/>
      <c r="AK1326" s="57"/>
      <c r="AL1326" s="59"/>
      <c r="AM1326" s="57"/>
      <c r="AN1326" s="57"/>
      <c r="AO1326" s="55"/>
      <c r="AP1326" s="55"/>
      <c r="AQ1326" s="57"/>
      <c r="AR1326" s="60"/>
      <c r="AS1326" s="57"/>
      <c r="AT1326" s="57"/>
      <c r="AU1326" s="57"/>
      <c r="AV1326" s="61"/>
      <c r="AW1326" s="61"/>
      <c r="AX1326" s="61"/>
      <c r="AY1326" s="61"/>
      <c r="AZ1326" s="61"/>
      <c r="BA1326" s="61"/>
      <c r="BB1326" s="61"/>
      <c r="BC1326" s="61"/>
      <c r="BD1326" s="61"/>
      <c r="BE1326" s="61"/>
      <c r="BF1326" s="55">
        <v>45</v>
      </c>
      <c r="BG1326" s="62"/>
      <c r="BH1326" s="63">
        <f t="shared" ref="BH1326:BH1355" si="59">SUM(F1326:BG1326)</f>
        <v>45</v>
      </c>
      <c r="BI1326" s="64">
        <v>45</v>
      </c>
      <c r="BJ1326" s="62"/>
      <c r="BK1326" s="203">
        <f t="shared" ref="BK1326:BK1355" si="60">BH1326-BI1326</f>
        <v>0</v>
      </c>
      <c r="BL1326" s="64"/>
      <c r="BM1326" s="65"/>
      <c r="BN1326" s="65"/>
      <c r="BO1326" s="65"/>
    </row>
    <row r="1327" spans="2:67" ht="18.95" customHeight="1">
      <c r="B1327" s="51" t="s">
        <v>76</v>
      </c>
      <c r="C1327" s="52" t="s">
        <v>1242</v>
      </c>
      <c r="D1327" s="53" t="s">
        <v>76</v>
      </c>
      <c r="E1327" s="204" t="s">
        <v>1244</v>
      </c>
      <c r="F1327" s="66"/>
      <c r="G1327" s="66"/>
      <c r="H1327" s="66"/>
      <c r="I1327" s="66"/>
      <c r="J1327" s="66"/>
      <c r="K1327" s="66"/>
      <c r="L1327" s="66"/>
      <c r="M1327" s="66"/>
      <c r="N1327" s="67"/>
      <c r="O1327" s="66"/>
      <c r="P1327" s="66"/>
      <c r="Q1327" s="66"/>
      <c r="R1327" s="66"/>
      <c r="S1327" s="66"/>
      <c r="T1327" s="66"/>
      <c r="U1327" s="66"/>
      <c r="V1327" s="66"/>
      <c r="W1327" s="66"/>
      <c r="X1327" s="66"/>
      <c r="Y1327" s="66"/>
      <c r="Z1327" s="66"/>
      <c r="AA1327" s="66"/>
      <c r="AB1327" s="66"/>
      <c r="AC1327" s="66"/>
      <c r="AD1327" s="66"/>
      <c r="AE1327" s="66"/>
      <c r="AF1327" s="66"/>
      <c r="AG1327" s="66"/>
      <c r="AH1327" s="66"/>
      <c r="AI1327" s="66"/>
      <c r="AJ1327" s="66"/>
      <c r="AK1327" s="66"/>
      <c r="AL1327" s="66"/>
      <c r="AM1327" s="66"/>
      <c r="AN1327" s="66"/>
      <c r="AO1327" s="66"/>
      <c r="AP1327" s="66"/>
      <c r="AQ1327" s="66"/>
      <c r="AR1327" s="68"/>
      <c r="AS1327" s="66"/>
      <c r="AT1327" s="66"/>
      <c r="AU1327" s="66"/>
      <c r="AV1327" s="69"/>
      <c r="AW1327" s="69"/>
      <c r="AX1327" s="69"/>
      <c r="AY1327" s="69"/>
      <c r="AZ1327" s="69"/>
      <c r="BA1327" s="69"/>
      <c r="BB1327" s="69"/>
      <c r="BC1327" s="69"/>
      <c r="BD1327" s="69"/>
      <c r="BE1327" s="69"/>
      <c r="BF1327" s="55">
        <v>300</v>
      </c>
      <c r="BG1327" s="70"/>
      <c r="BH1327" s="63">
        <f t="shared" si="59"/>
        <v>300</v>
      </c>
      <c r="BI1327" s="63">
        <v>300</v>
      </c>
      <c r="BJ1327" s="70"/>
      <c r="BK1327" s="203">
        <f t="shared" si="60"/>
        <v>0</v>
      </c>
      <c r="BL1327" s="63"/>
      <c r="BM1327" s="71"/>
      <c r="BN1327" s="71"/>
      <c r="BO1327" s="72"/>
    </row>
    <row r="1328" spans="2:67" ht="18.75" customHeight="1">
      <c r="B1328" s="51" t="s">
        <v>78</v>
      </c>
      <c r="C1328" s="52" t="s">
        <v>1242</v>
      </c>
      <c r="D1328" s="53" t="s">
        <v>78</v>
      </c>
      <c r="E1328" s="148" t="s">
        <v>1245</v>
      </c>
      <c r="F1328" s="66"/>
      <c r="G1328" s="66"/>
      <c r="H1328" s="66"/>
      <c r="I1328" s="66"/>
      <c r="J1328" s="66"/>
      <c r="K1328" s="66"/>
      <c r="L1328" s="66"/>
      <c r="M1328" s="66"/>
      <c r="N1328" s="67"/>
      <c r="O1328" s="66"/>
      <c r="P1328" s="66"/>
      <c r="Q1328" s="66"/>
      <c r="R1328" s="66"/>
      <c r="S1328" s="66"/>
      <c r="T1328" s="66"/>
      <c r="U1328" s="66"/>
      <c r="V1328" s="66"/>
      <c r="W1328" s="66"/>
      <c r="X1328" s="66"/>
      <c r="Y1328" s="66"/>
      <c r="Z1328" s="66"/>
      <c r="AA1328" s="66"/>
      <c r="AB1328" s="66"/>
      <c r="AC1328" s="66"/>
      <c r="AD1328" s="66"/>
      <c r="AE1328" s="66"/>
      <c r="AF1328" s="66"/>
      <c r="AG1328" s="66"/>
      <c r="AH1328" s="66"/>
      <c r="AI1328" s="66"/>
      <c r="AJ1328" s="66"/>
      <c r="AK1328" s="66"/>
      <c r="AL1328" s="66"/>
      <c r="AM1328" s="66"/>
      <c r="AN1328" s="66"/>
      <c r="AO1328" s="66"/>
      <c r="AP1328" s="66"/>
      <c r="AQ1328" s="66"/>
      <c r="AR1328" s="68"/>
      <c r="AS1328" s="66"/>
      <c r="AT1328" s="66"/>
      <c r="AU1328" s="66"/>
      <c r="AV1328" s="69"/>
      <c r="AW1328" s="69"/>
      <c r="AX1328" s="69"/>
      <c r="AY1328" s="69"/>
      <c r="AZ1328" s="69"/>
      <c r="BA1328" s="69"/>
      <c r="BB1328" s="69"/>
      <c r="BC1328" s="69"/>
      <c r="BD1328" s="69"/>
      <c r="BE1328" s="69"/>
      <c r="BF1328" s="55">
        <v>100</v>
      </c>
      <c r="BG1328" s="70"/>
      <c r="BH1328" s="63">
        <f t="shared" si="59"/>
        <v>100</v>
      </c>
      <c r="BI1328" s="63">
        <v>100</v>
      </c>
      <c r="BJ1328" s="70"/>
      <c r="BK1328" s="203">
        <f t="shared" si="60"/>
        <v>0</v>
      </c>
      <c r="BL1328" s="63"/>
      <c r="BM1328" s="71"/>
      <c r="BN1328" s="72"/>
      <c r="BO1328" s="71"/>
    </row>
    <row r="1329" spans="2:67" ht="18.95" customHeight="1">
      <c r="B1329" s="51" t="s">
        <v>80</v>
      </c>
      <c r="C1329" s="52" t="s">
        <v>1242</v>
      </c>
      <c r="D1329" s="53" t="s">
        <v>80</v>
      </c>
      <c r="E1329" s="199" t="s">
        <v>1246</v>
      </c>
      <c r="F1329" s="66"/>
      <c r="G1329" s="66"/>
      <c r="H1329" s="66"/>
      <c r="I1329" s="66"/>
      <c r="J1329" s="66"/>
      <c r="K1329" s="66"/>
      <c r="L1329" s="66"/>
      <c r="M1329" s="66"/>
      <c r="N1329" s="67"/>
      <c r="O1329" s="66"/>
      <c r="P1329" s="66"/>
      <c r="Q1329" s="66"/>
      <c r="R1329" s="66"/>
      <c r="S1329" s="66"/>
      <c r="T1329" s="66"/>
      <c r="U1329" s="66"/>
      <c r="V1329" s="66"/>
      <c r="W1329" s="66"/>
      <c r="X1329" s="66"/>
      <c r="Y1329" s="66"/>
      <c r="Z1329" s="66"/>
      <c r="AA1329" s="66"/>
      <c r="AB1329" s="66"/>
      <c r="AC1329" s="66"/>
      <c r="AD1329" s="66"/>
      <c r="AE1329" s="66"/>
      <c r="AF1329" s="66"/>
      <c r="AG1329" s="66"/>
      <c r="AH1329" s="66"/>
      <c r="AI1329" s="66"/>
      <c r="AJ1329" s="66"/>
      <c r="AK1329" s="66"/>
      <c r="AL1329" s="66"/>
      <c r="AM1329" s="66"/>
      <c r="AN1329" s="66"/>
      <c r="AO1329" s="66"/>
      <c r="AP1329" s="66"/>
      <c r="AQ1329" s="66"/>
      <c r="AR1329" s="68"/>
      <c r="AS1329" s="66"/>
      <c r="AT1329" s="66"/>
      <c r="AU1329" s="66"/>
      <c r="AV1329" s="69"/>
      <c r="AW1329" s="69"/>
      <c r="AX1329" s="69"/>
      <c r="AY1329" s="69"/>
      <c r="AZ1329" s="69"/>
      <c r="BA1329" s="69"/>
      <c r="BB1329" s="69"/>
      <c r="BC1329" s="69"/>
      <c r="BD1329" s="69"/>
      <c r="BE1329" s="69"/>
      <c r="BF1329" s="55">
        <v>2</v>
      </c>
      <c r="BG1329" s="70"/>
      <c r="BH1329" s="63">
        <f t="shared" si="59"/>
        <v>2</v>
      </c>
      <c r="BI1329" s="63">
        <v>2</v>
      </c>
      <c r="BJ1329" s="70"/>
      <c r="BK1329" s="203">
        <f t="shared" si="60"/>
        <v>0</v>
      </c>
      <c r="BL1329" s="63"/>
      <c r="BM1329" s="71"/>
      <c r="BN1329" s="71"/>
      <c r="BO1329" s="71"/>
    </row>
    <row r="1330" spans="2:67" ht="18.95" customHeight="1">
      <c r="B1330" s="51" t="s">
        <v>82</v>
      </c>
      <c r="C1330" s="52" t="s">
        <v>1242</v>
      </c>
      <c r="D1330" s="53" t="s">
        <v>82</v>
      </c>
      <c r="E1330" s="200" t="s">
        <v>1247</v>
      </c>
      <c r="F1330" s="66"/>
      <c r="G1330" s="66"/>
      <c r="H1330" s="66"/>
      <c r="I1330" s="66"/>
      <c r="J1330" s="66"/>
      <c r="K1330" s="66"/>
      <c r="L1330" s="66"/>
      <c r="M1330" s="66"/>
      <c r="N1330" s="67"/>
      <c r="O1330" s="66"/>
      <c r="P1330" s="66"/>
      <c r="Q1330" s="66"/>
      <c r="R1330" s="66"/>
      <c r="S1330" s="66"/>
      <c r="T1330" s="66"/>
      <c r="U1330" s="66"/>
      <c r="V1330" s="66"/>
      <c r="W1330" s="66"/>
      <c r="X1330" s="66"/>
      <c r="Y1330" s="66"/>
      <c r="Z1330" s="66"/>
      <c r="AA1330" s="66"/>
      <c r="AB1330" s="66"/>
      <c r="AC1330" s="66"/>
      <c r="AD1330" s="66"/>
      <c r="AE1330" s="66"/>
      <c r="AF1330" s="66"/>
      <c r="AG1330" s="66"/>
      <c r="AH1330" s="66"/>
      <c r="AI1330" s="66"/>
      <c r="AJ1330" s="66"/>
      <c r="AK1330" s="66"/>
      <c r="AL1330" s="66"/>
      <c r="AM1330" s="66"/>
      <c r="AN1330" s="66"/>
      <c r="AO1330" s="66"/>
      <c r="AP1330" s="66"/>
      <c r="AQ1330" s="66"/>
      <c r="AR1330" s="68"/>
      <c r="AS1330" s="66"/>
      <c r="AT1330" s="66"/>
      <c r="AU1330" s="66"/>
      <c r="AV1330" s="69"/>
      <c r="AW1330" s="69"/>
      <c r="AX1330" s="69"/>
      <c r="AY1330" s="69"/>
      <c r="AZ1330" s="69"/>
      <c r="BA1330" s="69"/>
      <c r="BB1330" s="69"/>
      <c r="BC1330" s="69"/>
      <c r="BD1330" s="69"/>
      <c r="BE1330" s="69"/>
      <c r="BF1330" s="55">
        <v>2</v>
      </c>
      <c r="BG1330" s="70"/>
      <c r="BH1330" s="63">
        <f t="shared" si="59"/>
        <v>2</v>
      </c>
      <c r="BI1330" s="63">
        <v>2</v>
      </c>
      <c r="BJ1330" s="70"/>
      <c r="BK1330" s="203">
        <f t="shared" si="60"/>
        <v>0</v>
      </c>
      <c r="BL1330" s="63"/>
      <c r="BM1330" s="71"/>
      <c r="BN1330" s="71"/>
      <c r="BO1330" s="71"/>
    </row>
    <row r="1331" spans="2:67" ht="18.95" customHeight="1">
      <c r="B1331" s="51" t="s">
        <v>84</v>
      </c>
      <c r="C1331" s="52" t="s">
        <v>1242</v>
      </c>
      <c r="D1331" s="53" t="s">
        <v>84</v>
      </c>
      <c r="E1331" s="192" t="s">
        <v>1248</v>
      </c>
      <c r="F1331" s="66"/>
      <c r="G1331" s="66"/>
      <c r="H1331" s="66"/>
      <c r="I1331" s="66"/>
      <c r="J1331" s="66"/>
      <c r="K1331" s="66"/>
      <c r="L1331" s="66"/>
      <c r="M1331" s="66"/>
      <c r="N1331" s="67"/>
      <c r="O1331" s="66"/>
      <c r="P1331" s="66"/>
      <c r="Q1331" s="66"/>
      <c r="R1331" s="66"/>
      <c r="S1331" s="66"/>
      <c r="T1331" s="66"/>
      <c r="U1331" s="66"/>
      <c r="V1331" s="66"/>
      <c r="W1331" s="66"/>
      <c r="X1331" s="66"/>
      <c r="Y1331" s="66"/>
      <c r="Z1331" s="66"/>
      <c r="AA1331" s="66"/>
      <c r="AB1331" s="66"/>
      <c r="AC1331" s="66"/>
      <c r="AD1331" s="66"/>
      <c r="AE1331" s="66"/>
      <c r="AF1331" s="66"/>
      <c r="AG1331" s="66"/>
      <c r="AH1331" s="66"/>
      <c r="AI1331" s="66"/>
      <c r="AJ1331" s="66"/>
      <c r="AK1331" s="66"/>
      <c r="AL1331" s="66"/>
      <c r="AM1331" s="66"/>
      <c r="AN1331" s="66"/>
      <c r="AO1331" s="66"/>
      <c r="AP1331" s="66"/>
      <c r="AQ1331" s="66"/>
      <c r="AR1331" s="68"/>
      <c r="AS1331" s="66"/>
      <c r="AT1331" s="66"/>
      <c r="AU1331" s="66"/>
      <c r="AV1331" s="69"/>
      <c r="AW1331" s="69"/>
      <c r="AX1331" s="69"/>
      <c r="AY1331" s="69"/>
      <c r="AZ1331" s="69"/>
      <c r="BA1331" s="69"/>
      <c r="BB1331" s="69"/>
      <c r="BC1331" s="69"/>
      <c r="BD1331" s="69"/>
      <c r="BE1331" s="69"/>
      <c r="BF1331" s="55">
        <v>2</v>
      </c>
      <c r="BG1331" s="70"/>
      <c r="BH1331" s="63">
        <f t="shared" si="59"/>
        <v>2</v>
      </c>
      <c r="BI1331" s="63">
        <v>2</v>
      </c>
      <c r="BJ1331" s="70"/>
      <c r="BK1331" s="203">
        <f t="shared" si="60"/>
        <v>0</v>
      </c>
      <c r="BL1331" s="63"/>
      <c r="BM1331" s="71"/>
      <c r="BN1331" s="71"/>
      <c r="BO1331" s="71"/>
    </row>
    <row r="1332" spans="2:67" ht="18.95" customHeight="1">
      <c r="B1332" s="51" t="s">
        <v>86</v>
      </c>
      <c r="C1332" s="52" t="s">
        <v>1242</v>
      </c>
      <c r="D1332" s="53" t="s">
        <v>86</v>
      </c>
      <c r="E1332" s="199" t="s">
        <v>1249</v>
      </c>
      <c r="F1332" s="66"/>
      <c r="G1332" s="66"/>
      <c r="H1332" s="66"/>
      <c r="I1332" s="66"/>
      <c r="J1332" s="66"/>
      <c r="K1332" s="66"/>
      <c r="L1332" s="66"/>
      <c r="M1332" s="66"/>
      <c r="N1332" s="67"/>
      <c r="O1332" s="66"/>
      <c r="P1332" s="66"/>
      <c r="Q1332" s="66"/>
      <c r="R1332" s="66"/>
      <c r="S1332" s="66"/>
      <c r="T1332" s="66"/>
      <c r="U1332" s="66"/>
      <c r="V1332" s="66"/>
      <c r="W1332" s="66"/>
      <c r="X1332" s="66"/>
      <c r="Y1332" s="66"/>
      <c r="Z1332" s="66"/>
      <c r="AA1332" s="66"/>
      <c r="AB1332" s="66"/>
      <c r="AC1332" s="66"/>
      <c r="AD1332" s="66"/>
      <c r="AE1332" s="66"/>
      <c r="AF1332" s="66"/>
      <c r="AG1332" s="66"/>
      <c r="AH1332" s="66"/>
      <c r="AI1332" s="66"/>
      <c r="AJ1332" s="66"/>
      <c r="AK1332" s="66"/>
      <c r="AL1332" s="66"/>
      <c r="AM1332" s="66"/>
      <c r="AN1332" s="66"/>
      <c r="AO1332" s="66"/>
      <c r="AP1332" s="66"/>
      <c r="AQ1332" s="66"/>
      <c r="AR1332" s="68"/>
      <c r="AS1332" s="66"/>
      <c r="AT1332" s="66"/>
      <c r="AU1332" s="66"/>
      <c r="AV1332" s="69"/>
      <c r="AW1332" s="69"/>
      <c r="AX1332" s="69"/>
      <c r="AY1332" s="69"/>
      <c r="AZ1332" s="69"/>
      <c r="BA1332" s="69"/>
      <c r="BB1332" s="69"/>
      <c r="BC1332" s="69"/>
      <c r="BD1332" s="69"/>
      <c r="BE1332" s="69"/>
      <c r="BF1332" s="55">
        <v>20</v>
      </c>
      <c r="BG1332" s="70"/>
      <c r="BH1332" s="63">
        <f t="shared" si="59"/>
        <v>20</v>
      </c>
      <c r="BI1332" s="63">
        <v>20</v>
      </c>
      <c r="BJ1332" s="70"/>
      <c r="BK1332" s="203">
        <f t="shared" si="60"/>
        <v>0</v>
      </c>
      <c r="BL1332" s="63"/>
      <c r="BM1332" s="71"/>
      <c r="BN1332" s="71"/>
      <c r="BO1332" s="71"/>
    </row>
    <row r="1333" spans="2:67" ht="18.95" customHeight="1">
      <c r="B1333" s="51" t="s">
        <v>88</v>
      </c>
      <c r="C1333" s="52" t="s">
        <v>1242</v>
      </c>
      <c r="D1333" s="53" t="s">
        <v>88</v>
      </c>
      <c r="E1333" s="200" t="s">
        <v>1250</v>
      </c>
      <c r="F1333" s="66"/>
      <c r="G1333" s="66"/>
      <c r="H1333" s="66"/>
      <c r="I1333" s="66"/>
      <c r="J1333" s="66"/>
      <c r="K1333" s="66"/>
      <c r="L1333" s="66"/>
      <c r="M1333" s="66"/>
      <c r="N1333" s="67"/>
      <c r="O1333" s="66"/>
      <c r="P1333" s="66"/>
      <c r="Q1333" s="66"/>
      <c r="R1333" s="66"/>
      <c r="S1333" s="66"/>
      <c r="T1333" s="66"/>
      <c r="U1333" s="66"/>
      <c r="V1333" s="66"/>
      <c r="W1333" s="66"/>
      <c r="X1333" s="66"/>
      <c r="Y1333" s="66"/>
      <c r="Z1333" s="66"/>
      <c r="AA1333" s="66"/>
      <c r="AB1333" s="66"/>
      <c r="AC1333" s="66"/>
      <c r="AD1333" s="66"/>
      <c r="AE1333" s="66"/>
      <c r="AF1333" s="66"/>
      <c r="AG1333" s="66"/>
      <c r="AH1333" s="66"/>
      <c r="AI1333" s="66"/>
      <c r="AJ1333" s="66"/>
      <c r="AK1333" s="66"/>
      <c r="AL1333" s="66"/>
      <c r="AM1333" s="66"/>
      <c r="AN1333" s="66"/>
      <c r="AO1333" s="66"/>
      <c r="AP1333" s="66"/>
      <c r="AQ1333" s="66"/>
      <c r="AR1333" s="68"/>
      <c r="AS1333" s="66"/>
      <c r="AT1333" s="66"/>
      <c r="AU1333" s="66"/>
      <c r="AV1333" s="69"/>
      <c r="AW1333" s="69"/>
      <c r="AX1333" s="69"/>
      <c r="AY1333" s="69"/>
      <c r="AZ1333" s="69"/>
      <c r="BA1333" s="69"/>
      <c r="BB1333" s="69"/>
      <c r="BC1333" s="69"/>
      <c r="BD1333" s="69"/>
      <c r="BE1333" s="69"/>
      <c r="BF1333" s="55">
        <v>1</v>
      </c>
      <c r="BG1333" s="70"/>
      <c r="BH1333" s="63">
        <f t="shared" si="59"/>
        <v>1</v>
      </c>
      <c r="BI1333" s="63">
        <v>1</v>
      </c>
      <c r="BJ1333" s="70"/>
      <c r="BK1333" s="203">
        <f t="shared" si="60"/>
        <v>0</v>
      </c>
      <c r="BL1333" s="63"/>
      <c r="BM1333" s="71"/>
      <c r="BN1333" s="71"/>
      <c r="BO1333" s="71"/>
    </row>
    <row r="1334" spans="2:67" ht="18.95" customHeight="1">
      <c r="B1334" s="51" t="s">
        <v>90</v>
      </c>
      <c r="C1334" s="52" t="s">
        <v>1242</v>
      </c>
      <c r="D1334" s="53" t="s">
        <v>90</v>
      </c>
      <c r="E1334" s="199" t="s">
        <v>1251</v>
      </c>
      <c r="F1334" s="66"/>
      <c r="G1334" s="66"/>
      <c r="H1334" s="66"/>
      <c r="I1334" s="66"/>
      <c r="J1334" s="66"/>
      <c r="K1334" s="66"/>
      <c r="L1334" s="66"/>
      <c r="M1334" s="66"/>
      <c r="N1334" s="67"/>
      <c r="O1334" s="66"/>
      <c r="P1334" s="66"/>
      <c r="Q1334" s="66"/>
      <c r="R1334" s="66"/>
      <c r="S1334" s="66"/>
      <c r="T1334" s="66"/>
      <c r="U1334" s="66"/>
      <c r="V1334" s="66"/>
      <c r="W1334" s="66"/>
      <c r="X1334" s="66"/>
      <c r="Y1334" s="66"/>
      <c r="Z1334" s="66"/>
      <c r="AA1334" s="66"/>
      <c r="AB1334" s="66"/>
      <c r="AC1334" s="66"/>
      <c r="AD1334" s="66"/>
      <c r="AE1334" s="66"/>
      <c r="AF1334" s="66"/>
      <c r="AG1334" s="66"/>
      <c r="AH1334" s="66"/>
      <c r="AI1334" s="66"/>
      <c r="AJ1334" s="66"/>
      <c r="AK1334" s="66"/>
      <c r="AL1334" s="66"/>
      <c r="AM1334" s="66"/>
      <c r="AN1334" s="66"/>
      <c r="AO1334" s="66"/>
      <c r="AP1334" s="66"/>
      <c r="AQ1334" s="66"/>
      <c r="AR1334" s="68"/>
      <c r="AS1334" s="66"/>
      <c r="AT1334" s="66"/>
      <c r="AU1334" s="66"/>
      <c r="AV1334" s="69"/>
      <c r="AW1334" s="69"/>
      <c r="AX1334" s="69"/>
      <c r="AY1334" s="69"/>
      <c r="AZ1334" s="69"/>
      <c r="BA1334" s="69"/>
      <c r="BB1334" s="69"/>
      <c r="BC1334" s="69"/>
      <c r="BD1334" s="69"/>
      <c r="BE1334" s="69"/>
      <c r="BF1334" s="55">
        <v>1</v>
      </c>
      <c r="BG1334" s="70"/>
      <c r="BH1334" s="63">
        <f t="shared" si="59"/>
        <v>1</v>
      </c>
      <c r="BI1334" s="63">
        <v>1</v>
      </c>
      <c r="BJ1334" s="70"/>
      <c r="BK1334" s="203">
        <f t="shared" si="60"/>
        <v>0</v>
      </c>
      <c r="BL1334" s="63"/>
      <c r="BM1334" s="71"/>
      <c r="BN1334" s="71"/>
      <c r="BO1334" s="71"/>
    </row>
    <row r="1335" spans="2:67" ht="18.95" customHeight="1">
      <c r="B1335" s="51" t="s">
        <v>92</v>
      </c>
      <c r="C1335" s="52" t="s">
        <v>1242</v>
      </c>
      <c r="D1335" s="53" t="s">
        <v>92</v>
      </c>
      <c r="E1335" s="200" t="s">
        <v>1252</v>
      </c>
      <c r="F1335" s="66"/>
      <c r="G1335" s="66"/>
      <c r="H1335" s="66"/>
      <c r="I1335" s="66"/>
      <c r="J1335" s="66"/>
      <c r="K1335" s="66"/>
      <c r="L1335" s="66"/>
      <c r="M1335" s="66"/>
      <c r="N1335" s="67"/>
      <c r="O1335" s="66"/>
      <c r="P1335" s="66"/>
      <c r="Q1335" s="66"/>
      <c r="R1335" s="66"/>
      <c r="S1335" s="66"/>
      <c r="T1335" s="66"/>
      <c r="U1335" s="66"/>
      <c r="V1335" s="66"/>
      <c r="W1335" s="66"/>
      <c r="X1335" s="66"/>
      <c r="Y1335" s="66"/>
      <c r="Z1335" s="66"/>
      <c r="AA1335" s="66"/>
      <c r="AB1335" s="66"/>
      <c r="AC1335" s="66"/>
      <c r="AD1335" s="66"/>
      <c r="AE1335" s="66"/>
      <c r="AF1335" s="66"/>
      <c r="AG1335" s="66"/>
      <c r="AH1335" s="66"/>
      <c r="AI1335" s="66"/>
      <c r="AJ1335" s="66"/>
      <c r="AK1335" s="66"/>
      <c r="AL1335" s="66"/>
      <c r="AM1335" s="66"/>
      <c r="AN1335" s="66"/>
      <c r="AO1335" s="66"/>
      <c r="AP1335" s="66"/>
      <c r="AQ1335" s="66"/>
      <c r="AR1335" s="68"/>
      <c r="AS1335" s="66"/>
      <c r="AT1335" s="66"/>
      <c r="AU1335" s="66"/>
      <c r="AV1335" s="69"/>
      <c r="AW1335" s="69"/>
      <c r="AX1335" s="69"/>
      <c r="AY1335" s="69"/>
      <c r="AZ1335" s="69"/>
      <c r="BA1335" s="69"/>
      <c r="BB1335" s="69"/>
      <c r="BC1335" s="69"/>
      <c r="BD1335" s="69"/>
      <c r="BE1335" s="69"/>
      <c r="BF1335" s="55">
        <v>1</v>
      </c>
      <c r="BG1335" s="70"/>
      <c r="BH1335" s="63">
        <f t="shared" si="59"/>
        <v>1</v>
      </c>
      <c r="BI1335" s="63">
        <v>1</v>
      </c>
      <c r="BJ1335" s="70"/>
      <c r="BK1335" s="203">
        <f t="shared" si="60"/>
        <v>0</v>
      </c>
      <c r="BL1335" s="63"/>
      <c r="BM1335" s="71"/>
      <c r="BN1335" s="71"/>
      <c r="BO1335" s="71"/>
    </row>
    <row r="1336" spans="2:67" ht="18.95" customHeight="1">
      <c r="B1336" s="51" t="s">
        <v>94</v>
      </c>
      <c r="C1336" s="52" t="s">
        <v>1242</v>
      </c>
      <c r="D1336" s="53" t="s">
        <v>94</v>
      </c>
      <c r="E1336" s="197" t="s">
        <v>1253</v>
      </c>
      <c r="F1336" s="66"/>
      <c r="G1336" s="66"/>
      <c r="H1336" s="66"/>
      <c r="I1336" s="66"/>
      <c r="J1336" s="66"/>
      <c r="K1336" s="66"/>
      <c r="L1336" s="66"/>
      <c r="M1336" s="66"/>
      <c r="N1336" s="67"/>
      <c r="O1336" s="66"/>
      <c r="P1336" s="66"/>
      <c r="Q1336" s="66"/>
      <c r="R1336" s="66"/>
      <c r="S1336" s="66"/>
      <c r="T1336" s="66"/>
      <c r="U1336" s="66"/>
      <c r="V1336" s="66"/>
      <c r="W1336" s="66"/>
      <c r="X1336" s="66"/>
      <c r="Y1336" s="66"/>
      <c r="Z1336" s="66"/>
      <c r="AA1336" s="66"/>
      <c r="AB1336" s="66"/>
      <c r="AC1336" s="66"/>
      <c r="AD1336" s="66"/>
      <c r="AE1336" s="66"/>
      <c r="AF1336" s="66"/>
      <c r="AG1336" s="66"/>
      <c r="AH1336" s="66"/>
      <c r="AI1336" s="66"/>
      <c r="AJ1336" s="66"/>
      <c r="AK1336" s="66"/>
      <c r="AL1336" s="66"/>
      <c r="AM1336" s="66"/>
      <c r="AN1336" s="66"/>
      <c r="AO1336" s="66"/>
      <c r="AP1336" s="66"/>
      <c r="AQ1336" s="66"/>
      <c r="AR1336" s="68"/>
      <c r="AS1336" s="66"/>
      <c r="AT1336" s="66"/>
      <c r="AU1336" s="66"/>
      <c r="AV1336" s="69"/>
      <c r="AW1336" s="69"/>
      <c r="AX1336" s="69"/>
      <c r="AY1336" s="69"/>
      <c r="AZ1336" s="69"/>
      <c r="BA1336" s="69"/>
      <c r="BB1336" s="69"/>
      <c r="BC1336" s="69"/>
      <c r="BD1336" s="69"/>
      <c r="BE1336" s="69"/>
      <c r="BF1336" s="55">
        <v>1</v>
      </c>
      <c r="BG1336" s="70"/>
      <c r="BH1336" s="63">
        <f t="shared" si="59"/>
        <v>1</v>
      </c>
      <c r="BI1336" s="63">
        <v>1</v>
      </c>
      <c r="BJ1336" s="70"/>
      <c r="BK1336" s="203">
        <f t="shared" si="60"/>
        <v>0</v>
      </c>
      <c r="BL1336" s="63"/>
      <c r="BM1336" s="71"/>
      <c r="BN1336" s="71"/>
      <c r="BO1336" s="71"/>
    </row>
    <row r="1337" spans="2:67" ht="18.95" customHeight="1">
      <c r="B1337" s="51" t="s">
        <v>96</v>
      </c>
      <c r="C1337" s="52" t="s">
        <v>1242</v>
      </c>
      <c r="D1337" s="53" t="s">
        <v>96</v>
      </c>
      <c r="E1337" s="229" t="s">
        <v>1254</v>
      </c>
      <c r="F1337" s="66"/>
      <c r="G1337" s="66"/>
      <c r="H1337" s="66"/>
      <c r="I1337" s="66"/>
      <c r="J1337" s="66"/>
      <c r="K1337" s="66"/>
      <c r="L1337" s="66"/>
      <c r="M1337" s="66"/>
      <c r="N1337" s="67"/>
      <c r="O1337" s="66"/>
      <c r="P1337" s="66"/>
      <c r="Q1337" s="66"/>
      <c r="R1337" s="66"/>
      <c r="S1337" s="66"/>
      <c r="T1337" s="66"/>
      <c r="U1337" s="66"/>
      <c r="V1337" s="66"/>
      <c r="W1337" s="66"/>
      <c r="X1337" s="66"/>
      <c r="Y1337" s="66"/>
      <c r="Z1337" s="66"/>
      <c r="AA1337" s="66"/>
      <c r="AB1337" s="66"/>
      <c r="AC1337" s="66"/>
      <c r="AD1337" s="66"/>
      <c r="AE1337" s="66"/>
      <c r="AF1337" s="66"/>
      <c r="AG1337" s="66"/>
      <c r="AH1337" s="66"/>
      <c r="AI1337" s="66"/>
      <c r="AJ1337" s="66"/>
      <c r="AK1337" s="66"/>
      <c r="AL1337" s="66"/>
      <c r="AM1337" s="66"/>
      <c r="AN1337" s="66"/>
      <c r="AO1337" s="66"/>
      <c r="AP1337" s="66"/>
      <c r="AQ1337" s="66"/>
      <c r="AR1337" s="68"/>
      <c r="AS1337" s="66"/>
      <c r="AT1337" s="66"/>
      <c r="AU1337" s="66"/>
      <c r="AV1337" s="69"/>
      <c r="AW1337" s="69"/>
      <c r="AX1337" s="69"/>
      <c r="AY1337" s="69"/>
      <c r="AZ1337" s="69"/>
      <c r="BA1337" s="69"/>
      <c r="BB1337" s="69"/>
      <c r="BC1337" s="69"/>
      <c r="BD1337" s="69"/>
      <c r="BE1337" s="69"/>
      <c r="BF1337" s="55">
        <v>8</v>
      </c>
      <c r="BG1337" s="70"/>
      <c r="BH1337" s="63">
        <f t="shared" si="59"/>
        <v>8</v>
      </c>
      <c r="BI1337" s="63">
        <v>8</v>
      </c>
      <c r="BJ1337" s="70"/>
      <c r="BK1337" s="203">
        <f t="shared" si="60"/>
        <v>0</v>
      </c>
      <c r="BL1337" s="63"/>
      <c r="BM1337" s="71"/>
      <c r="BN1337" s="71"/>
      <c r="BO1337" s="71"/>
    </row>
    <row r="1338" spans="2:67" ht="18.95" customHeight="1">
      <c r="B1338" s="51" t="s">
        <v>98</v>
      </c>
      <c r="C1338" s="52" t="s">
        <v>1242</v>
      </c>
      <c r="D1338" s="53" t="s">
        <v>98</v>
      </c>
      <c r="E1338" s="202" t="s">
        <v>1255</v>
      </c>
      <c r="F1338" s="66"/>
      <c r="G1338" s="66"/>
      <c r="H1338" s="66"/>
      <c r="I1338" s="66"/>
      <c r="J1338" s="66"/>
      <c r="K1338" s="66"/>
      <c r="L1338" s="66"/>
      <c r="M1338" s="66"/>
      <c r="N1338" s="67"/>
      <c r="O1338" s="66"/>
      <c r="P1338" s="66"/>
      <c r="Q1338" s="66"/>
      <c r="R1338" s="66"/>
      <c r="S1338" s="66"/>
      <c r="T1338" s="66"/>
      <c r="U1338" s="66"/>
      <c r="V1338" s="66"/>
      <c r="W1338" s="66"/>
      <c r="X1338" s="66"/>
      <c r="Y1338" s="66"/>
      <c r="Z1338" s="66"/>
      <c r="AA1338" s="66"/>
      <c r="AB1338" s="66"/>
      <c r="AC1338" s="66"/>
      <c r="AD1338" s="66"/>
      <c r="AE1338" s="66"/>
      <c r="AF1338" s="66"/>
      <c r="AG1338" s="66"/>
      <c r="AH1338" s="66"/>
      <c r="AI1338" s="66"/>
      <c r="AJ1338" s="66"/>
      <c r="AK1338" s="66"/>
      <c r="AL1338" s="66"/>
      <c r="AM1338" s="66"/>
      <c r="AN1338" s="66"/>
      <c r="AO1338" s="66"/>
      <c r="AP1338" s="66"/>
      <c r="AQ1338" s="66"/>
      <c r="AR1338" s="68"/>
      <c r="AS1338" s="66"/>
      <c r="AT1338" s="66"/>
      <c r="AU1338" s="66"/>
      <c r="AV1338" s="69"/>
      <c r="AW1338" s="69"/>
      <c r="AX1338" s="69"/>
      <c r="AY1338" s="69"/>
      <c r="AZ1338" s="69"/>
      <c r="BA1338" s="69"/>
      <c r="BB1338" s="69"/>
      <c r="BC1338" s="69"/>
      <c r="BD1338" s="69"/>
      <c r="BE1338" s="69"/>
      <c r="BF1338" s="55"/>
      <c r="BG1338" s="70"/>
      <c r="BH1338" s="63">
        <f t="shared" si="59"/>
        <v>0</v>
      </c>
      <c r="BI1338" s="63">
        <v>0</v>
      </c>
      <c r="BJ1338" s="70"/>
      <c r="BK1338" s="203">
        <f t="shared" si="60"/>
        <v>0</v>
      </c>
      <c r="BL1338" s="63"/>
      <c r="BM1338" s="71"/>
      <c r="BN1338" s="71"/>
      <c r="BO1338" s="71"/>
    </row>
    <row r="1339" spans="2:67" ht="18.95" customHeight="1">
      <c r="B1339" s="51" t="s">
        <v>100</v>
      </c>
      <c r="C1339" s="52" t="s">
        <v>1242</v>
      </c>
      <c r="D1339" s="53" t="s">
        <v>100</v>
      </c>
      <c r="E1339" s="200" t="s">
        <v>1256</v>
      </c>
      <c r="F1339" s="66"/>
      <c r="G1339" s="66"/>
      <c r="H1339" s="66"/>
      <c r="I1339" s="66"/>
      <c r="J1339" s="66"/>
      <c r="K1339" s="66"/>
      <c r="L1339" s="66"/>
      <c r="M1339" s="66"/>
      <c r="N1339" s="67"/>
      <c r="O1339" s="66"/>
      <c r="P1339" s="66"/>
      <c r="Q1339" s="66"/>
      <c r="R1339" s="66"/>
      <c r="S1339" s="66"/>
      <c r="T1339" s="66"/>
      <c r="U1339" s="66"/>
      <c r="V1339" s="66"/>
      <c r="W1339" s="66"/>
      <c r="X1339" s="66"/>
      <c r="Y1339" s="66"/>
      <c r="Z1339" s="66"/>
      <c r="AA1339" s="66"/>
      <c r="AB1339" s="66"/>
      <c r="AC1339" s="66"/>
      <c r="AD1339" s="66"/>
      <c r="AE1339" s="66"/>
      <c r="AF1339" s="66"/>
      <c r="AG1339" s="66"/>
      <c r="AH1339" s="66"/>
      <c r="AI1339" s="66"/>
      <c r="AJ1339" s="66"/>
      <c r="AK1339" s="66"/>
      <c r="AL1339" s="66"/>
      <c r="AM1339" s="66"/>
      <c r="AN1339" s="66"/>
      <c r="AO1339" s="66"/>
      <c r="AP1339" s="66"/>
      <c r="AQ1339" s="66"/>
      <c r="AR1339" s="68"/>
      <c r="AS1339" s="66"/>
      <c r="AT1339" s="66"/>
      <c r="AU1339" s="66"/>
      <c r="AV1339" s="69"/>
      <c r="AW1339" s="69"/>
      <c r="AX1339" s="69"/>
      <c r="AY1339" s="69"/>
      <c r="AZ1339" s="69"/>
      <c r="BA1339" s="69"/>
      <c r="BB1339" s="69"/>
      <c r="BC1339" s="69"/>
      <c r="BD1339" s="69"/>
      <c r="BE1339" s="69"/>
      <c r="BF1339" s="55">
        <v>2</v>
      </c>
      <c r="BG1339" s="70"/>
      <c r="BH1339" s="63">
        <f t="shared" si="59"/>
        <v>2</v>
      </c>
      <c r="BI1339" s="63">
        <v>2</v>
      </c>
      <c r="BJ1339" s="70"/>
      <c r="BK1339" s="203">
        <f t="shared" si="60"/>
        <v>0</v>
      </c>
      <c r="BL1339" s="63"/>
      <c r="BM1339" s="71"/>
      <c r="BN1339" s="71"/>
      <c r="BO1339" s="71"/>
    </row>
    <row r="1340" spans="2:67" ht="18.95" customHeight="1">
      <c r="B1340" s="51" t="s">
        <v>102</v>
      </c>
      <c r="C1340" s="52" t="s">
        <v>1242</v>
      </c>
      <c r="D1340" s="53" t="s">
        <v>102</v>
      </c>
      <c r="E1340" s="200" t="s">
        <v>1257</v>
      </c>
      <c r="F1340" s="66"/>
      <c r="G1340" s="66"/>
      <c r="H1340" s="66"/>
      <c r="I1340" s="66"/>
      <c r="J1340" s="66"/>
      <c r="K1340" s="66"/>
      <c r="L1340" s="66"/>
      <c r="M1340" s="66"/>
      <c r="N1340" s="67"/>
      <c r="O1340" s="66"/>
      <c r="P1340" s="66"/>
      <c r="Q1340" s="66"/>
      <c r="R1340" s="66"/>
      <c r="S1340" s="66"/>
      <c r="T1340" s="66"/>
      <c r="U1340" s="66"/>
      <c r="V1340" s="66"/>
      <c r="W1340" s="66"/>
      <c r="X1340" s="66"/>
      <c r="Y1340" s="66"/>
      <c r="Z1340" s="66"/>
      <c r="AA1340" s="66"/>
      <c r="AB1340" s="66"/>
      <c r="AC1340" s="66"/>
      <c r="AD1340" s="66"/>
      <c r="AE1340" s="66"/>
      <c r="AF1340" s="66"/>
      <c r="AG1340" s="66"/>
      <c r="AH1340" s="66"/>
      <c r="AI1340" s="66"/>
      <c r="AJ1340" s="66"/>
      <c r="AK1340" s="66"/>
      <c r="AL1340" s="66"/>
      <c r="AM1340" s="66"/>
      <c r="AN1340" s="66"/>
      <c r="AO1340" s="66"/>
      <c r="AP1340" s="66"/>
      <c r="AQ1340" s="66"/>
      <c r="AR1340" s="68"/>
      <c r="AS1340" s="66"/>
      <c r="AT1340" s="66"/>
      <c r="AU1340" s="66"/>
      <c r="AV1340" s="69"/>
      <c r="AW1340" s="69"/>
      <c r="AX1340" s="69"/>
      <c r="AY1340" s="69"/>
      <c r="AZ1340" s="69"/>
      <c r="BA1340" s="69"/>
      <c r="BB1340" s="69"/>
      <c r="BC1340" s="69"/>
      <c r="BD1340" s="69"/>
      <c r="BE1340" s="69"/>
      <c r="BF1340" s="55">
        <v>2</v>
      </c>
      <c r="BG1340" s="70"/>
      <c r="BH1340" s="63">
        <f t="shared" si="59"/>
        <v>2</v>
      </c>
      <c r="BI1340" s="63">
        <v>2</v>
      </c>
      <c r="BJ1340" s="70"/>
      <c r="BK1340" s="203">
        <f t="shared" si="60"/>
        <v>0</v>
      </c>
      <c r="BL1340" s="63"/>
      <c r="BM1340" s="71"/>
      <c r="BN1340" s="71"/>
      <c r="BO1340" s="71"/>
    </row>
    <row r="1341" spans="2:67" ht="18.95" customHeight="1">
      <c r="B1341" s="51" t="s">
        <v>104</v>
      </c>
      <c r="C1341" s="52" t="s">
        <v>1242</v>
      </c>
      <c r="D1341" s="53" t="s">
        <v>104</v>
      </c>
      <c r="E1341" s="153" t="s">
        <v>1258</v>
      </c>
      <c r="F1341" s="66"/>
      <c r="G1341" s="66"/>
      <c r="H1341" s="66"/>
      <c r="I1341" s="66"/>
      <c r="J1341" s="66"/>
      <c r="K1341" s="66"/>
      <c r="L1341" s="66"/>
      <c r="M1341" s="66"/>
      <c r="N1341" s="67"/>
      <c r="O1341" s="66"/>
      <c r="P1341" s="66"/>
      <c r="Q1341" s="66"/>
      <c r="R1341" s="66"/>
      <c r="S1341" s="66"/>
      <c r="T1341" s="66"/>
      <c r="U1341" s="66"/>
      <c r="V1341" s="66"/>
      <c r="W1341" s="66"/>
      <c r="X1341" s="66"/>
      <c r="Y1341" s="66"/>
      <c r="Z1341" s="66"/>
      <c r="AA1341" s="66"/>
      <c r="AB1341" s="66"/>
      <c r="AC1341" s="66"/>
      <c r="AD1341" s="66"/>
      <c r="AE1341" s="66"/>
      <c r="AF1341" s="66"/>
      <c r="AG1341" s="66"/>
      <c r="AH1341" s="66"/>
      <c r="AI1341" s="66"/>
      <c r="AJ1341" s="66"/>
      <c r="AK1341" s="66"/>
      <c r="AL1341" s="66"/>
      <c r="AM1341" s="66"/>
      <c r="AN1341" s="66"/>
      <c r="AO1341" s="66"/>
      <c r="AP1341" s="66"/>
      <c r="AQ1341" s="66"/>
      <c r="AR1341" s="68"/>
      <c r="AS1341" s="66"/>
      <c r="AT1341" s="66"/>
      <c r="AU1341" s="66"/>
      <c r="AV1341" s="69"/>
      <c r="AW1341" s="69"/>
      <c r="AX1341" s="69"/>
      <c r="AY1341" s="69"/>
      <c r="AZ1341" s="69"/>
      <c r="BA1341" s="69"/>
      <c r="BB1341" s="69"/>
      <c r="BC1341" s="69"/>
      <c r="BD1341" s="69"/>
      <c r="BE1341" s="69"/>
      <c r="BF1341" s="55">
        <v>2</v>
      </c>
      <c r="BG1341" s="70"/>
      <c r="BH1341" s="63">
        <f t="shared" si="59"/>
        <v>2</v>
      </c>
      <c r="BI1341" s="63">
        <v>2</v>
      </c>
      <c r="BJ1341" s="70"/>
      <c r="BK1341" s="203">
        <f t="shared" si="60"/>
        <v>0</v>
      </c>
      <c r="BL1341" s="63"/>
      <c r="BM1341" s="71"/>
      <c r="BN1341" s="71"/>
      <c r="BO1341" s="71"/>
    </row>
    <row r="1342" spans="2:67" ht="18.95" customHeight="1">
      <c r="B1342" s="51" t="s">
        <v>106</v>
      </c>
      <c r="C1342" s="52" t="s">
        <v>1242</v>
      </c>
      <c r="D1342" s="53" t="s">
        <v>106</v>
      </c>
      <c r="E1342" s="153" t="s">
        <v>1259</v>
      </c>
      <c r="F1342" s="66"/>
      <c r="G1342" s="66"/>
      <c r="H1342" s="66"/>
      <c r="I1342" s="66"/>
      <c r="J1342" s="66"/>
      <c r="K1342" s="66"/>
      <c r="L1342" s="66"/>
      <c r="M1342" s="66"/>
      <c r="N1342" s="67"/>
      <c r="O1342" s="66"/>
      <c r="P1342" s="66"/>
      <c r="Q1342" s="66"/>
      <c r="R1342" s="66"/>
      <c r="S1342" s="66"/>
      <c r="T1342" s="66"/>
      <c r="U1342" s="66"/>
      <c r="V1342" s="66"/>
      <c r="W1342" s="66"/>
      <c r="X1342" s="66"/>
      <c r="Y1342" s="66"/>
      <c r="Z1342" s="66"/>
      <c r="AA1342" s="66"/>
      <c r="AB1342" s="66"/>
      <c r="AC1342" s="66"/>
      <c r="AD1342" s="66"/>
      <c r="AE1342" s="66"/>
      <c r="AF1342" s="66"/>
      <c r="AG1342" s="66"/>
      <c r="AH1342" s="66"/>
      <c r="AI1342" s="66"/>
      <c r="AJ1342" s="66"/>
      <c r="AK1342" s="66"/>
      <c r="AL1342" s="66"/>
      <c r="AM1342" s="66"/>
      <c r="AN1342" s="66"/>
      <c r="AO1342" s="66"/>
      <c r="AP1342" s="66"/>
      <c r="AQ1342" s="66"/>
      <c r="AR1342" s="68"/>
      <c r="AS1342" s="66"/>
      <c r="AT1342" s="66"/>
      <c r="AU1342" s="66"/>
      <c r="AV1342" s="69"/>
      <c r="AW1342" s="69"/>
      <c r="AX1342" s="69"/>
      <c r="AY1342" s="69"/>
      <c r="AZ1342" s="69"/>
      <c r="BA1342" s="69"/>
      <c r="BB1342" s="69"/>
      <c r="BC1342" s="69"/>
      <c r="BD1342" s="69"/>
      <c r="BE1342" s="69"/>
      <c r="BF1342" s="55">
        <v>2</v>
      </c>
      <c r="BG1342" s="70"/>
      <c r="BH1342" s="63">
        <f t="shared" si="59"/>
        <v>2</v>
      </c>
      <c r="BI1342" s="63">
        <v>2</v>
      </c>
      <c r="BJ1342" s="70"/>
      <c r="BK1342" s="203">
        <f t="shared" si="60"/>
        <v>0</v>
      </c>
      <c r="BL1342" s="63"/>
      <c r="BM1342" s="71"/>
      <c r="BN1342" s="71"/>
      <c r="BO1342" s="71"/>
    </row>
    <row r="1343" spans="2:67" ht="18.95" customHeight="1">
      <c r="B1343" s="51" t="s">
        <v>108</v>
      </c>
      <c r="C1343" s="52" t="s">
        <v>1242</v>
      </c>
      <c r="D1343" s="53" t="s">
        <v>108</v>
      </c>
      <c r="E1343" s="153" t="s">
        <v>1260</v>
      </c>
      <c r="F1343" s="66"/>
      <c r="G1343" s="66"/>
      <c r="H1343" s="66">
        <v>7</v>
      </c>
      <c r="I1343" s="66"/>
      <c r="J1343" s="66"/>
      <c r="K1343" s="66"/>
      <c r="L1343" s="66"/>
      <c r="M1343" s="66"/>
      <c r="N1343" s="67"/>
      <c r="O1343" s="66"/>
      <c r="P1343" s="66"/>
      <c r="Q1343" s="66"/>
      <c r="R1343" s="66"/>
      <c r="S1343" s="66"/>
      <c r="T1343" s="66"/>
      <c r="U1343" s="66"/>
      <c r="V1343" s="66"/>
      <c r="W1343" s="66"/>
      <c r="X1343" s="66"/>
      <c r="Y1343" s="66"/>
      <c r="Z1343" s="66"/>
      <c r="AA1343" s="66"/>
      <c r="AB1343" s="66"/>
      <c r="AC1343" s="66"/>
      <c r="AD1343" s="66"/>
      <c r="AE1343" s="66"/>
      <c r="AF1343" s="66"/>
      <c r="AG1343" s="66"/>
      <c r="AH1343" s="66"/>
      <c r="AI1343" s="66"/>
      <c r="AJ1343" s="66"/>
      <c r="AK1343" s="66"/>
      <c r="AL1343" s="66"/>
      <c r="AM1343" s="66"/>
      <c r="AN1343" s="66"/>
      <c r="AO1343" s="66"/>
      <c r="AP1343" s="66"/>
      <c r="AQ1343" s="66"/>
      <c r="AR1343" s="68"/>
      <c r="AS1343" s="66"/>
      <c r="AT1343" s="66"/>
      <c r="AU1343" s="66"/>
      <c r="AV1343" s="69"/>
      <c r="AW1343" s="69"/>
      <c r="AX1343" s="69"/>
      <c r="AY1343" s="69"/>
      <c r="AZ1343" s="69"/>
      <c r="BA1343" s="69"/>
      <c r="BB1343" s="69"/>
      <c r="BC1343" s="69"/>
      <c r="BD1343" s="69"/>
      <c r="BE1343" s="69"/>
      <c r="BF1343" s="55">
        <v>3</v>
      </c>
      <c r="BG1343" s="70"/>
      <c r="BH1343" s="63">
        <f t="shared" si="59"/>
        <v>10</v>
      </c>
      <c r="BI1343" s="63">
        <v>3</v>
      </c>
      <c r="BJ1343" s="70"/>
      <c r="BK1343" s="203">
        <f t="shared" si="60"/>
        <v>7</v>
      </c>
      <c r="BL1343" s="63"/>
      <c r="BM1343" s="71"/>
      <c r="BN1343" s="71"/>
      <c r="BO1343" s="71"/>
    </row>
    <row r="1344" spans="2:67" ht="18.95" customHeight="1">
      <c r="B1344" s="51" t="s">
        <v>110</v>
      </c>
      <c r="C1344" s="52" t="s">
        <v>1242</v>
      </c>
      <c r="D1344" s="53" t="s">
        <v>110</v>
      </c>
      <c r="E1344" s="153" t="s">
        <v>1261</v>
      </c>
      <c r="F1344" s="66"/>
      <c r="G1344" s="66"/>
      <c r="H1344" s="66"/>
      <c r="I1344" s="66"/>
      <c r="J1344" s="66"/>
      <c r="K1344" s="66"/>
      <c r="L1344" s="66"/>
      <c r="M1344" s="66"/>
      <c r="N1344" s="67"/>
      <c r="O1344" s="66"/>
      <c r="P1344" s="66"/>
      <c r="Q1344" s="66"/>
      <c r="R1344" s="66"/>
      <c r="S1344" s="66"/>
      <c r="T1344" s="66"/>
      <c r="U1344" s="66"/>
      <c r="V1344" s="66"/>
      <c r="W1344" s="66"/>
      <c r="X1344" s="66"/>
      <c r="Y1344" s="66"/>
      <c r="Z1344" s="66"/>
      <c r="AA1344" s="66"/>
      <c r="AB1344" s="66"/>
      <c r="AC1344" s="66"/>
      <c r="AD1344" s="66"/>
      <c r="AE1344" s="66"/>
      <c r="AF1344" s="66"/>
      <c r="AG1344" s="66"/>
      <c r="AH1344" s="66"/>
      <c r="AI1344" s="66"/>
      <c r="AJ1344" s="66"/>
      <c r="AK1344" s="66"/>
      <c r="AL1344" s="66"/>
      <c r="AM1344" s="66"/>
      <c r="AN1344" s="66"/>
      <c r="AO1344" s="66"/>
      <c r="AP1344" s="66"/>
      <c r="AQ1344" s="66"/>
      <c r="AR1344" s="68"/>
      <c r="AS1344" s="66"/>
      <c r="AT1344" s="66"/>
      <c r="AU1344" s="66"/>
      <c r="AV1344" s="69"/>
      <c r="AW1344" s="69"/>
      <c r="AX1344" s="69"/>
      <c r="AY1344" s="69"/>
      <c r="AZ1344" s="69"/>
      <c r="BA1344" s="69"/>
      <c r="BB1344" s="69"/>
      <c r="BC1344" s="69"/>
      <c r="BD1344" s="69"/>
      <c r="BE1344" s="69"/>
      <c r="BF1344" s="55">
        <v>6</v>
      </c>
      <c r="BG1344" s="70"/>
      <c r="BH1344" s="63">
        <f t="shared" si="59"/>
        <v>6</v>
      </c>
      <c r="BI1344" s="63">
        <v>6</v>
      </c>
      <c r="BJ1344" s="70"/>
      <c r="BK1344" s="203">
        <f t="shared" si="60"/>
        <v>0</v>
      </c>
      <c r="BL1344" s="63"/>
      <c r="BM1344" s="71"/>
      <c r="BN1344" s="71"/>
      <c r="BO1344" s="71"/>
    </row>
    <row r="1345" spans="2:67" ht="18.95" customHeight="1">
      <c r="B1345" s="51" t="s">
        <v>112</v>
      </c>
      <c r="C1345" s="52" t="s">
        <v>1242</v>
      </c>
      <c r="D1345" s="53" t="s">
        <v>112</v>
      </c>
      <c r="E1345" s="153" t="s">
        <v>1262</v>
      </c>
      <c r="F1345" s="66"/>
      <c r="G1345" s="66"/>
      <c r="H1345" s="66"/>
      <c r="I1345" s="66"/>
      <c r="J1345" s="66"/>
      <c r="K1345" s="66"/>
      <c r="L1345" s="66"/>
      <c r="M1345" s="66"/>
      <c r="N1345" s="67"/>
      <c r="O1345" s="66"/>
      <c r="P1345" s="66"/>
      <c r="Q1345" s="66"/>
      <c r="R1345" s="66"/>
      <c r="S1345" s="66"/>
      <c r="T1345" s="66"/>
      <c r="U1345" s="66"/>
      <c r="V1345" s="66"/>
      <c r="W1345" s="66"/>
      <c r="X1345" s="66"/>
      <c r="Y1345" s="66"/>
      <c r="Z1345" s="66"/>
      <c r="AA1345" s="66"/>
      <c r="AB1345" s="66"/>
      <c r="AC1345" s="66"/>
      <c r="AD1345" s="66"/>
      <c r="AE1345" s="66"/>
      <c r="AF1345" s="66"/>
      <c r="AG1345" s="66"/>
      <c r="AH1345" s="66"/>
      <c r="AI1345" s="66"/>
      <c r="AJ1345" s="66"/>
      <c r="AK1345" s="66"/>
      <c r="AL1345" s="66"/>
      <c r="AM1345" s="66"/>
      <c r="AN1345" s="66"/>
      <c r="AO1345" s="66"/>
      <c r="AP1345" s="66"/>
      <c r="AQ1345" s="66"/>
      <c r="AR1345" s="68"/>
      <c r="AS1345" s="66"/>
      <c r="AT1345" s="66"/>
      <c r="AU1345" s="66"/>
      <c r="AV1345" s="69"/>
      <c r="AW1345" s="69"/>
      <c r="AX1345" s="69"/>
      <c r="AY1345" s="69"/>
      <c r="AZ1345" s="69"/>
      <c r="BA1345" s="69"/>
      <c r="BB1345" s="69"/>
      <c r="BC1345" s="69"/>
      <c r="BD1345" s="69"/>
      <c r="BE1345" s="69"/>
      <c r="BF1345" s="55"/>
      <c r="BG1345" s="70"/>
      <c r="BH1345" s="63">
        <f t="shared" si="59"/>
        <v>0</v>
      </c>
      <c r="BI1345" s="63">
        <v>0</v>
      </c>
      <c r="BJ1345" s="70"/>
      <c r="BK1345" s="203">
        <f t="shared" si="60"/>
        <v>0</v>
      </c>
      <c r="BL1345" s="63"/>
      <c r="BM1345" s="71"/>
      <c r="BN1345" s="71"/>
      <c r="BO1345" s="71"/>
    </row>
    <row r="1346" spans="2:67" ht="18.95" customHeight="1">
      <c r="B1346" s="51" t="s">
        <v>114</v>
      </c>
      <c r="C1346" s="52" t="s">
        <v>1242</v>
      </c>
      <c r="D1346" s="53" t="s">
        <v>114</v>
      </c>
      <c r="E1346" s="153" t="s">
        <v>1263</v>
      </c>
      <c r="F1346" s="66"/>
      <c r="G1346" s="66"/>
      <c r="H1346" s="66"/>
      <c r="I1346" s="66"/>
      <c r="J1346" s="66"/>
      <c r="K1346" s="66"/>
      <c r="L1346" s="66"/>
      <c r="M1346" s="66"/>
      <c r="N1346" s="67"/>
      <c r="O1346" s="66"/>
      <c r="P1346" s="66"/>
      <c r="Q1346" s="66"/>
      <c r="R1346" s="66"/>
      <c r="S1346" s="66"/>
      <c r="T1346" s="66"/>
      <c r="U1346" s="66"/>
      <c r="V1346" s="66"/>
      <c r="W1346" s="66"/>
      <c r="X1346" s="66"/>
      <c r="Y1346" s="66"/>
      <c r="Z1346" s="66"/>
      <c r="AA1346" s="66"/>
      <c r="AB1346" s="66"/>
      <c r="AC1346" s="66"/>
      <c r="AD1346" s="66"/>
      <c r="AE1346" s="66"/>
      <c r="AF1346" s="66"/>
      <c r="AG1346" s="66"/>
      <c r="AH1346" s="66"/>
      <c r="AI1346" s="66"/>
      <c r="AJ1346" s="66"/>
      <c r="AK1346" s="66"/>
      <c r="AL1346" s="66"/>
      <c r="AM1346" s="66"/>
      <c r="AN1346" s="66"/>
      <c r="AO1346" s="66"/>
      <c r="AP1346" s="66"/>
      <c r="AQ1346" s="66"/>
      <c r="AR1346" s="68"/>
      <c r="AS1346" s="66"/>
      <c r="AT1346" s="66"/>
      <c r="AU1346" s="66"/>
      <c r="AV1346" s="69"/>
      <c r="AW1346" s="69"/>
      <c r="AX1346" s="69"/>
      <c r="AY1346" s="69"/>
      <c r="AZ1346" s="69"/>
      <c r="BA1346" s="69"/>
      <c r="BB1346" s="69"/>
      <c r="BC1346" s="69"/>
      <c r="BD1346" s="69"/>
      <c r="BE1346" s="69"/>
      <c r="BF1346" s="55"/>
      <c r="BG1346" s="70"/>
      <c r="BH1346" s="63">
        <f t="shared" si="59"/>
        <v>0</v>
      </c>
      <c r="BI1346" s="63">
        <v>0</v>
      </c>
      <c r="BJ1346" s="70"/>
      <c r="BK1346" s="203">
        <f t="shared" si="60"/>
        <v>0</v>
      </c>
      <c r="BL1346" s="63"/>
      <c r="BM1346" s="71"/>
      <c r="BN1346" s="71"/>
      <c r="BO1346" s="71"/>
    </row>
    <row r="1347" spans="2:67" ht="18.95" customHeight="1">
      <c r="B1347" s="51" t="s">
        <v>116</v>
      </c>
      <c r="C1347" s="52" t="s">
        <v>1242</v>
      </c>
      <c r="D1347" s="53" t="s">
        <v>116</v>
      </c>
      <c r="E1347" s="153" t="s">
        <v>1264</v>
      </c>
      <c r="F1347" s="66"/>
      <c r="G1347" s="66"/>
      <c r="H1347" s="66"/>
      <c r="I1347" s="66"/>
      <c r="J1347" s="66"/>
      <c r="K1347" s="66"/>
      <c r="L1347" s="66"/>
      <c r="M1347" s="66"/>
      <c r="N1347" s="67"/>
      <c r="O1347" s="66"/>
      <c r="P1347" s="66"/>
      <c r="Q1347" s="66"/>
      <c r="R1347" s="66"/>
      <c r="S1347" s="66"/>
      <c r="T1347" s="66"/>
      <c r="U1347" s="66"/>
      <c r="V1347" s="66"/>
      <c r="W1347" s="66"/>
      <c r="X1347" s="66"/>
      <c r="Y1347" s="66"/>
      <c r="Z1347" s="66"/>
      <c r="AA1347" s="66"/>
      <c r="AB1347" s="66"/>
      <c r="AC1347" s="66"/>
      <c r="AD1347" s="66"/>
      <c r="AE1347" s="66"/>
      <c r="AF1347" s="66"/>
      <c r="AG1347" s="66"/>
      <c r="AH1347" s="66"/>
      <c r="AI1347" s="66"/>
      <c r="AJ1347" s="66"/>
      <c r="AK1347" s="66"/>
      <c r="AL1347" s="66"/>
      <c r="AM1347" s="66"/>
      <c r="AN1347" s="66"/>
      <c r="AO1347" s="66"/>
      <c r="AP1347" s="66"/>
      <c r="AQ1347" s="66"/>
      <c r="AR1347" s="68"/>
      <c r="AS1347" s="66"/>
      <c r="AT1347" s="66"/>
      <c r="AU1347" s="66"/>
      <c r="AV1347" s="69"/>
      <c r="AW1347" s="69"/>
      <c r="AX1347" s="69"/>
      <c r="AY1347" s="69"/>
      <c r="AZ1347" s="69"/>
      <c r="BA1347" s="69">
        <v>1</v>
      </c>
      <c r="BB1347" s="69"/>
      <c r="BC1347" s="69"/>
      <c r="BD1347" s="69"/>
      <c r="BE1347" s="69"/>
      <c r="BF1347" s="55">
        <v>1</v>
      </c>
      <c r="BG1347" s="70"/>
      <c r="BH1347" s="63">
        <f t="shared" si="59"/>
        <v>2</v>
      </c>
      <c r="BI1347" s="63">
        <v>2</v>
      </c>
      <c r="BJ1347" s="70"/>
      <c r="BK1347" s="203">
        <f t="shared" si="60"/>
        <v>0</v>
      </c>
      <c r="BL1347" s="63"/>
      <c r="BM1347" s="71"/>
      <c r="BN1347" s="71"/>
      <c r="BO1347" s="71"/>
    </row>
    <row r="1348" spans="2:67" ht="18.75" customHeight="1">
      <c r="B1348" s="51" t="s">
        <v>118</v>
      </c>
      <c r="C1348" s="52" t="s">
        <v>1242</v>
      </c>
      <c r="D1348" s="53" t="s">
        <v>118</v>
      </c>
      <c r="E1348" s="153" t="s">
        <v>1265</v>
      </c>
      <c r="F1348" s="66"/>
      <c r="G1348" s="66"/>
      <c r="H1348" s="66"/>
      <c r="I1348" s="66"/>
      <c r="J1348" s="66"/>
      <c r="K1348" s="66"/>
      <c r="L1348" s="66"/>
      <c r="M1348" s="66"/>
      <c r="N1348" s="67"/>
      <c r="O1348" s="66"/>
      <c r="P1348" s="66"/>
      <c r="Q1348" s="66"/>
      <c r="R1348" s="66"/>
      <c r="S1348" s="66"/>
      <c r="T1348" s="66"/>
      <c r="U1348" s="66"/>
      <c r="V1348" s="66"/>
      <c r="W1348" s="66"/>
      <c r="X1348" s="66"/>
      <c r="Y1348" s="66"/>
      <c r="Z1348" s="66"/>
      <c r="AA1348" s="66"/>
      <c r="AB1348" s="66"/>
      <c r="AC1348" s="66"/>
      <c r="AD1348" s="66"/>
      <c r="AE1348" s="66"/>
      <c r="AF1348" s="66"/>
      <c r="AG1348" s="66"/>
      <c r="AH1348" s="66"/>
      <c r="AI1348" s="66"/>
      <c r="AJ1348" s="66"/>
      <c r="AK1348" s="66"/>
      <c r="AL1348" s="66"/>
      <c r="AM1348" s="66"/>
      <c r="AN1348" s="66"/>
      <c r="AO1348" s="66"/>
      <c r="AP1348" s="66"/>
      <c r="AQ1348" s="66"/>
      <c r="AR1348" s="68"/>
      <c r="AS1348" s="66"/>
      <c r="AT1348" s="66"/>
      <c r="AU1348" s="66"/>
      <c r="AV1348" s="69"/>
      <c r="AW1348" s="69"/>
      <c r="AX1348" s="69"/>
      <c r="AY1348" s="69"/>
      <c r="AZ1348" s="69"/>
      <c r="BA1348" s="69">
        <v>1</v>
      </c>
      <c r="BB1348" s="69"/>
      <c r="BC1348" s="69"/>
      <c r="BD1348" s="69"/>
      <c r="BE1348" s="69"/>
      <c r="BF1348" s="55"/>
      <c r="BG1348" s="70"/>
      <c r="BH1348" s="63">
        <f t="shared" si="59"/>
        <v>1</v>
      </c>
      <c r="BI1348" s="63">
        <v>1</v>
      </c>
      <c r="BJ1348" s="70"/>
      <c r="BK1348" s="203">
        <f t="shared" si="60"/>
        <v>0</v>
      </c>
      <c r="BL1348" s="63"/>
      <c r="BM1348" s="71"/>
      <c r="BN1348" s="71"/>
      <c r="BO1348" s="71"/>
    </row>
    <row r="1349" spans="2:67" ht="18.95" customHeight="1">
      <c r="B1349" s="51" t="s">
        <v>120</v>
      </c>
      <c r="C1349" s="52" t="s">
        <v>1242</v>
      </c>
      <c r="D1349" s="53" t="s">
        <v>120</v>
      </c>
      <c r="E1349" s="154" t="s">
        <v>1266</v>
      </c>
      <c r="F1349" s="66"/>
      <c r="G1349" s="66"/>
      <c r="H1349" s="66"/>
      <c r="I1349" s="66"/>
      <c r="J1349" s="66"/>
      <c r="K1349" s="66"/>
      <c r="L1349" s="66"/>
      <c r="M1349" s="66"/>
      <c r="N1349" s="67"/>
      <c r="O1349" s="66"/>
      <c r="P1349" s="66"/>
      <c r="Q1349" s="66"/>
      <c r="R1349" s="66"/>
      <c r="S1349" s="66"/>
      <c r="T1349" s="66"/>
      <c r="U1349" s="66"/>
      <c r="V1349" s="66"/>
      <c r="W1349" s="66"/>
      <c r="X1349" s="66"/>
      <c r="Y1349" s="66"/>
      <c r="Z1349" s="66"/>
      <c r="AA1349" s="66"/>
      <c r="AB1349" s="66"/>
      <c r="AC1349" s="66"/>
      <c r="AD1349" s="66"/>
      <c r="AE1349" s="66"/>
      <c r="AF1349" s="66"/>
      <c r="AG1349" s="66"/>
      <c r="AH1349" s="66"/>
      <c r="AI1349" s="66"/>
      <c r="AJ1349" s="66"/>
      <c r="AK1349" s="66"/>
      <c r="AL1349" s="66"/>
      <c r="AM1349" s="66"/>
      <c r="AN1349" s="66"/>
      <c r="AO1349" s="66"/>
      <c r="AP1349" s="66"/>
      <c r="AQ1349" s="66"/>
      <c r="AR1349" s="68"/>
      <c r="AS1349" s="66"/>
      <c r="AT1349" s="66"/>
      <c r="AU1349" s="66"/>
      <c r="AV1349" s="69"/>
      <c r="AW1349" s="69"/>
      <c r="AX1349" s="69"/>
      <c r="AY1349" s="69"/>
      <c r="AZ1349" s="69"/>
      <c r="BA1349" s="69">
        <v>1</v>
      </c>
      <c r="BB1349" s="69"/>
      <c r="BC1349" s="69"/>
      <c r="BD1349" s="69"/>
      <c r="BE1349" s="69"/>
      <c r="BF1349" s="55"/>
      <c r="BG1349" s="70"/>
      <c r="BH1349" s="63">
        <f t="shared" si="59"/>
        <v>1</v>
      </c>
      <c r="BI1349" s="63">
        <v>1</v>
      </c>
      <c r="BJ1349" s="70"/>
      <c r="BK1349" s="203">
        <f t="shared" si="60"/>
        <v>0</v>
      </c>
      <c r="BL1349" s="63"/>
      <c r="BM1349" s="71"/>
      <c r="BN1349" s="71"/>
      <c r="BO1349" s="71"/>
    </row>
    <row r="1350" spans="2:67" ht="18.95" customHeight="1">
      <c r="B1350" s="51" t="s">
        <v>122</v>
      </c>
      <c r="C1350" s="52" t="s">
        <v>1242</v>
      </c>
      <c r="D1350" s="53" t="s">
        <v>122</v>
      </c>
      <c r="E1350" s="153" t="s">
        <v>1267</v>
      </c>
      <c r="F1350" s="66"/>
      <c r="G1350" s="66"/>
      <c r="H1350" s="66"/>
      <c r="I1350" s="66"/>
      <c r="J1350" s="66"/>
      <c r="K1350" s="66"/>
      <c r="L1350" s="66"/>
      <c r="M1350" s="66"/>
      <c r="N1350" s="67"/>
      <c r="O1350" s="66"/>
      <c r="P1350" s="66"/>
      <c r="Q1350" s="66"/>
      <c r="R1350" s="66"/>
      <c r="S1350" s="66"/>
      <c r="T1350" s="66"/>
      <c r="U1350" s="66"/>
      <c r="V1350" s="66"/>
      <c r="W1350" s="66"/>
      <c r="X1350" s="66"/>
      <c r="Y1350" s="66"/>
      <c r="Z1350" s="66"/>
      <c r="AA1350" s="66"/>
      <c r="AB1350" s="66"/>
      <c r="AC1350" s="66"/>
      <c r="AD1350" s="66"/>
      <c r="AE1350" s="66"/>
      <c r="AF1350" s="66"/>
      <c r="AG1350" s="66"/>
      <c r="AH1350" s="66"/>
      <c r="AI1350" s="66"/>
      <c r="AJ1350" s="66"/>
      <c r="AK1350" s="66"/>
      <c r="AL1350" s="75"/>
      <c r="AM1350" s="66"/>
      <c r="AN1350" s="66"/>
      <c r="AO1350" s="66"/>
      <c r="AP1350" s="66"/>
      <c r="AQ1350" s="66"/>
      <c r="AR1350" s="68"/>
      <c r="AS1350" s="66"/>
      <c r="AT1350" s="66"/>
      <c r="AU1350" s="66"/>
      <c r="AV1350" s="69"/>
      <c r="AW1350" s="69"/>
      <c r="AX1350" s="69"/>
      <c r="AY1350" s="69"/>
      <c r="AZ1350" s="69"/>
      <c r="BA1350" s="69"/>
      <c r="BB1350" s="69"/>
      <c r="BC1350" s="69"/>
      <c r="BD1350" s="69"/>
      <c r="BE1350" s="69"/>
      <c r="BF1350" s="55">
        <v>1</v>
      </c>
      <c r="BG1350" s="70"/>
      <c r="BH1350" s="63">
        <f t="shared" si="59"/>
        <v>1</v>
      </c>
      <c r="BI1350" s="63">
        <v>1</v>
      </c>
      <c r="BJ1350" s="70"/>
      <c r="BK1350" s="203">
        <f t="shared" si="60"/>
        <v>0</v>
      </c>
      <c r="BL1350" s="63"/>
      <c r="BM1350" s="71"/>
      <c r="BN1350" s="71"/>
      <c r="BO1350" s="71"/>
    </row>
    <row r="1351" spans="2:67" ht="18.95" customHeight="1">
      <c r="B1351" s="51" t="s">
        <v>124</v>
      </c>
      <c r="C1351" s="52" t="s">
        <v>1242</v>
      </c>
      <c r="D1351" s="53" t="s">
        <v>124</v>
      </c>
      <c r="E1351" s="153" t="s">
        <v>1268</v>
      </c>
      <c r="F1351" s="66"/>
      <c r="G1351" s="66"/>
      <c r="H1351" s="66"/>
      <c r="I1351" s="66"/>
      <c r="J1351" s="66"/>
      <c r="K1351" s="66"/>
      <c r="L1351" s="66"/>
      <c r="M1351" s="66"/>
      <c r="N1351" s="67"/>
      <c r="O1351" s="66"/>
      <c r="P1351" s="66"/>
      <c r="Q1351" s="66"/>
      <c r="R1351" s="66"/>
      <c r="S1351" s="66"/>
      <c r="T1351" s="66"/>
      <c r="U1351" s="66"/>
      <c r="V1351" s="66"/>
      <c r="W1351" s="66"/>
      <c r="X1351" s="66"/>
      <c r="Y1351" s="66"/>
      <c r="Z1351" s="66"/>
      <c r="AA1351" s="66"/>
      <c r="AB1351" s="66"/>
      <c r="AC1351" s="66"/>
      <c r="AD1351" s="66"/>
      <c r="AE1351" s="66"/>
      <c r="AF1351" s="66"/>
      <c r="AG1351" s="66"/>
      <c r="AH1351" s="66"/>
      <c r="AI1351" s="66"/>
      <c r="AJ1351" s="66"/>
      <c r="AK1351" s="66"/>
      <c r="AL1351" s="75"/>
      <c r="AM1351" s="66"/>
      <c r="AN1351" s="66"/>
      <c r="AO1351" s="66"/>
      <c r="AP1351" s="66"/>
      <c r="AQ1351" s="66"/>
      <c r="AR1351" s="68"/>
      <c r="AS1351" s="66"/>
      <c r="AT1351" s="66"/>
      <c r="AU1351" s="66"/>
      <c r="AV1351" s="69"/>
      <c r="AW1351" s="69"/>
      <c r="AX1351" s="69"/>
      <c r="AY1351" s="69"/>
      <c r="AZ1351" s="69"/>
      <c r="BA1351" s="69"/>
      <c r="BB1351" s="69"/>
      <c r="BC1351" s="69"/>
      <c r="BD1351" s="69"/>
      <c r="BE1351" s="69"/>
      <c r="BF1351" s="55">
        <v>2</v>
      </c>
      <c r="BG1351" s="70"/>
      <c r="BH1351" s="63">
        <f t="shared" si="59"/>
        <v>2</v>
      </c>
      <c r="BI1351" s="63">
        <v>2</v>
      </c>
      <c r="BJ1351" s="70"/>
      <c r="BK1351" s="203">
        <f t="shared" si="60"/>
        <v>0</v>
      </c>
      <c r="BL1351" s="63"/>
      <c r="BM1351" s="71"/>
      <c r="BN1351" s="71"/>
      <c r="BO1351" s="71"/>
    </row>
    <row r="1352" spans="2:67" ht="18.95" customHeight="1">
      <c r="B1352" s="51" t="s">
        <v>126</v>
      </c>
      <c r="C1352" s="52" t="s">
        <v>1242</v>
      </c>
      <c r="D1352" s="53" t="s">
        <v>126</v>
      </c>
      <c r="E1352" s="153" t="s">
        <v>1269</v>
      </c>
      <c r="F1352" s="66"/>
      <c r="G1352" s="66"/>
      <c r="H1352" s="66"/>
      <c r="I1352" s="66"/>
      <c r="J1352" s="66"/>
      <c r="K1352" s="66"/>
      <c r="L1352" s="66"/>
      <c r="M1352" s="66"/>
      <c r="N1352" s="67"/>
      <c r="O1352" s="66"/>
      <c r="P1352" s="66"/>
      <c r="Q1352" s="66"/>
      <c r="R1352" s="66"/>
      <c r="S1352" s="66"/>
      <c r="T1352" s="66"/>
      <c r="U1352" s="66"/>
      <c r="V1352" s="66"/>
      <c r="W1352" s="66"/>
      <c r="X1352" s="66"/>
      <c r="Y1352" s="66"/>
      <c r="Z1352" s="66"/>
      <c r="AA1352" s="66"/>
      <c r="AB1352" s="66"/>
      <c r="AC1352" s="66"/>
      <c r="AD1352" s="66"/>
      <c r="AE1352" s="66"/>
      <c r="AF1352" s="66"/>
      <c r="AG1352" s="66"/>
      <c r="AH1352" s="66"/>
      <c r="AI1352" s="66"/>
      <c r="AJ1352" s="66"/>
      <c r="AK1352" s="66"/>
      <c r="AL1352" s="66"/>
      <c r="AM1352" s="66"/>
      <c r="AN1352" s="66"/>
      <c r="AO1352" s="66"/>
      <c r="AP1352" s="66"/>
      <c r="AQ1352" s="66"/>
      <c r="AR1352" s="68"/>
      <c r="AS1352" s="66"/>
      <c r="AT1352" s="66"/>
      <c r="AU1352" s="66"/>
      <c r="AV1352" s="69"/>
      <c r="AW1352" s="69"/>
      <c r="AX1352" s="69"/>
      <c r="AY1352" s="69"/>
      <c r="AZ1352" s="69"/>
      <c r="BA1352" s="69"/>
      <c r="BB1352" s="69"/>
      <c r="BC1352" s="69"/>
      <c r="BD1352" s="69"/>
      <c r="BE1352" s="69"/>
      <c r="BF1352" s="55">
        <v>1</v>
      </c>
      <c r="BG1352" s="70"/>
      <c r="BH1352" s="63">
        <f t="shared" si="59"/>
        <v>1</v>
      </c>
      <c r="BI1352" s="63">
        <v>1</v>
      </c>
      <c r="BJ1352" s="70"/>
      <c r="BK1352" s="203">
        <f t="shared" si="60"/>
        <v>0</v>
      </c>
      <c r="BL1352" s="63"/>
      <c r="BM1352" s="71"/>
      <c r="BN1352" s="65"/>
      <c r="BO1352" s="65"/>
    </row>
    <row r="1353" spans="2:67" ht="18.95" customHeight="1">
      <c r="B1353" s="51" t="s">
        <v>128</v>
      </c>
      <c r="C1353" s="52" t="s">
        <v>1242</v>
      </c>
      <c r="D1353" s="53" t="s">
        <v>128</v>
      </c>
      <c r="E1353" s="153" t="s">
        <v>1270</v>
      </c>
      <c r="F1353" s="55"/>
      <c r="G1353" s="66"/>
      <c r="H1353" s="66"/>
      <c r="I1353" s="66"/>
      <c r="J1353" s="66"/>
      <c r="K1353" s="66"/>
      <c r="L1353" s="66"/>
      <c r="M1353" s="66"/>
      <c r="N1353" s="67"/>
      <c r="O1353" s="66"/>
      <c r="P1353" s="66"/>
      <c r="Q1353" s="66"/>
      <c r="R1353" s="66"/>
      <c r="S1353" s="66"/>
      <c r="T1353" s="66"/>
      <c r="U1353" s="66"/>
      <c r="V1353" s="66"/>
      <c r="W1353" s="66"/>
      <c r="X1353" s="66"/>
      <c r="Y1353" s="66"/>
      <c r="Z1353" s="66"/>
      <c r="AA1353" s="66"/>
      <c r="AB1353" s="66"/>
      <c r="AC1353" s="66"/>
      <c r="AD1353" s="66"/>
      <c r="AE1353" s="66"/>
      <c r="AF1353" s="66"/>
      <c r="AG1353" s="66"/>
      <c r="AH1353" s="66"/>
      <c r="AI1353" s="66"/>
      <c r="AJ1353" s="66"/>
      <c r="AK1353" s="66"/>
      <c r="AL1353" s="75"/>
      <c r="AM1353" s="66"/>
      <c r="AN1353" s="66"/>
      <c r="AO1353" s="66"/>
      <c r="AP1353" s="66"/>
      <c r="AQ1353" s="66"/>
      <c r="AR1353" s="68"/>
      <c r="AS1353" s="66"/>
      <c r="AT1353" s="66"/>
      <c r="AU1353" s="66"/>
      <c r="AV1353" s="69"/>
      <c r="AW1353" s="69"/>
      <c r="AX1353" s="69"/>
      <c r="AY1353" s="69"/>
      <c r="AZ1353" s="69"/>
      <c r="BA1353" s="69"/>
      <c r="BB1353" s="69"/>
      <c r="BC1353" s="69"/>
      <c r="BD1353" s="69"/>
      <c r="BE1353" s="69"/>
      <c r="BF1353" s="55">
        <v>1</v>
      </c>
      <c r="BG1353" s="70"/>
      <c r="BH1353" s="63">
        <f t="shared" si="59"/>
        <v>1</v>
      </c>
      <c r="BI1353" s="63">
        <v>1</v>
      </c>
      <c r="BJ1353" s="70"/>
      <c r="BK1353" s="203">
        <f t="shared" si="60"/>
        <v>0</v>
      </c>
      <c r="BL1353" s="63"/>
      <c r="BM1353" s="71"/>
      <c r="BN1353" s="65"/>
      <c r="BO1353" s="65"/>
    </row>
    <row r="1354" spans="2:67" ht="18.95" customHeight="1">
      <c r="B1354" s="51" t="s">
        <v>130</v>
      </c>
      <c r="C1354" s="52" t="s">
        <v>1242</v>
      </c>
      <c r="D1354" s="53" t="s">
        <v>130</v>
      </c>
      <c r="E1354" s="153" t="s">
        <v>1271</v>
      </c>
      <c r="F1354" s="66"/>
      <c r="G1354" s="66"/>
      <c r="H1354" s="66"/>
      <c r="I1354" s="66"/>
      <c r="J1354" s="66"/>
      <c r="K1354" s="66"/>
      <c r="L1354" s="66"/>
      <c r="M1354" s="66"/>
      <c r="N1354" s="67"/>
      <c r="O1354" s="66"/>
      <c r="P1354" s="66"/>
      <c r="Q1354" s="66"/>
      <c r="R1354" s="66"/>
      <c r="S1354" s="66"/>
      <c r="T1354" s="66"/>
      <c r="U1354" s="66"/>
      <c r="V1354" s="66"/>
      <c r="W1354" s="66"/>
      <c r="X1354" s="66"/>
      <c r="Y1354" s="66"/>
      <c r="Z1354" s="66"/>
      <c r="AA1354" s="66"/>
      <c r="AB1354" s="66"/>
      <c r="AC1354" s="66"/>
      <c r="AD1354" s="66"/>
      <c r="AE1354" s="66"/>
      <c r="AF1354" s="66"/>
      <c r="AG1354" s="66"/>
      <c r="AH1354" s="66"/>
      <c r="AI1354" s="66"/>
      <c r="AJ1354" s="66"/>
      <c r="AK1354" s="66"/>
      <c r="AL1354" s="66"/>
      <c r="AM1354" s="66"/>
      <c r="AN1354" s="66"/>
      <c r="AO1354" s="66"/>
      <c r="AP1354" s="66"/>
      <c r="AQ1354" s="66"/>
      <c r="AR1354" s="68"/>
      <c r="AS1354" s="66"/>
      <c r="AT1354" s="66"/>
      <c r="AU1354" s="66"/>
      <c r="AV1354" s="69"/>
      <c r="AW1354" s="69"/>
      <c r="AX1354" s="69"/>
      <c r="AY1354" s="69"/>
      <c r="AZ1354" s="69"/>
      <c r="BA1354" s="69"/>
      <c r="BB1354" s="69"/>
      <c r="BC1354" s="69"/>
      <c r="BD1354" s="69"/>
      <c r="BE1354" s="69"/>
      <c r="BF1354" s="55">
        <v>1</v>
      </c>
      <c r="BG1354" s="70"/>
      <c r="BH1354" s="63">
        <f t="shared" si="59"/>
        <v>1</v>
      </c>
      <c r="BI1354" s="63">
        <v>1</v>
      </c>
      <c r="BJ1354" s="70"/>
      <c r="BK1354" s="203">
        <f t="shared" si="60"/>
        <v>0</v>
      </c>
      <c r="BL1354" s="63"/>
      <c r="BM1354" s="71"/>
      <c r="BN1354" s="71"/>
      <c r="BO1354" s="71"/>
    </row>
    <row r="1355" spans="2:67" ht="18.75" customHeight="1">
      <c r="B1355" s="51" t="s">
        <v>132</v>
      </c>
      <c r="C1355" s="52" t="s">
        <v>1242</v>
      </c>
      <c r="D1355" s="53" t="s">
        <v>132</v>
      </c>
      <c r="E1355" s="153" t="s">
        <v>1272</v>
      </c>
      <c r="F1355" s="55"/>
      <c r="G1355" s="55"/>
      <c r="H1355" s="55"/>
      <c r="I1355" s="55"/>
      <c r="J1355" s="55"/>
      <c r="K1355" s="55"/>
      <c r="L1355" s="55"/>
      <c r="M1355" s="55"/>
      <c r="N1355" s="56"/>
      <c r="O1355" s="55"/>
      <c r="P1355" s="55"/>
      <c r="Q1355" s="55"/>
      <c r="R1355" s="55"/>
      <c r="S1355" s="55"/>
      <c r="T1355" s="55"/>
      <c r="U1355" s="55"/>
      <c r="V1355" s="55"/>
      <c r="W1355" s="55"/>
      <c r="X1355" s="55"/>
      <c r="Y1355" s="55"/>
      <c r="Z1355" s="55"/>
      <c r="AA1355" s="55"/>
      <c r="AB1355" s="55"/>
      <c r="AC1355" s="55"/>
      <c r="AD1355" s="55"/>
      <c r="AE1355" s="55"/>
      <c r="AF1355" s="55"/>
      <c r="AG1355" s="55"/>
      <c r="AH1355" s="55"/>
      <c r="AI1355" s="55"/>
      <c r="AJ1355" s="55"/>
      <c r="AK1355" s="55"/>
      <c r="AL1355" s="55"/>
      <c r="AM1355" s="55"/>
      <c r="AN1355" s="55"/>
      <c r="AO1355" s="55"/>
      <c r="AP1355" s="55"/>
      <c r="AQ1355" s="55"/>
      <c r="AR1355" s="76"/>
      <c r="AS1355" s="55"/>
      <c r="AT1355" s="55"/>
      <c r="AU1355" s="55"/>
      <c r="AV1355" s="55"/>
      <c r="AW1355" s="55"/>
      <c r="AX1355" s="55"/>
      <c r="AY1355" s="55"/>
      <c r="AZ1355" s="55"/>
      <c r="BA1355" s="55"/>
      <c r="BB1355" s="55"/>
      <c r="BC1355" s="55"/>
      <c r="BD1355" s="55"/>
      <c r="BE1355" s="55"/>
      <c r="BF1355" s="55">
        <v>1</v>
      </c>
      <c r="BG1355" s="70"/>
      <c r="BH1355" s="63">
        <f t="shared" si="59"/>
        <v>1</v>
      </c>
      <c r="BI1355" s="63">
        <v>1</v>
      </c>
      <c r="BJ1355" s="70"/>
      <c r="BK1355" s="203">
        <f t="shared" si="60"/>
        <v>0</v>
      </c>
      <c r="BL1355" s="63"/>
      <c r="BM1355" s="71"/>
      <c r="BN1355" s="65"/>
      <c r="BO1355" s="65"/>
    </row>
    <row r="1368" spans="2:67">
      <c r="B1368" s="2" t="s">
        <v>1</v>
      </c>
      <c r="C1368" s="2"/>
      <c r="D1368" s="2"/>
      <c r="E1368" s="2"/>
      <c r="F1368" s="3"/>
      <c r="G1368" s="4"/>
      <c r="H1368" s="4"/>
      <c r="I1368" s="4"/>
      <c r="J1368" s="4"/>
      <c r="K1368" s="4"/>
      <c r="L1368" s="4"/>
      <c r="M1368" s="4"/>
      <c r="N1368" s="107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5"/>
      <c r="AE1368" s="5"/>
      <c r="AF1368" s="5"/>
      <c r="AG1368" s="5"/>
      <c r="AH1368" s="5"/>
      <c r="AI1368" s="5"/>
      <c r="AJ1368" s="5"/>
      <c r="AK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7"/>
      <c r="BI1368" s="7"/>
      <c r="BJ1368" s="5"/>
      <c r="BK1368" s="5"/>
      <c r="BM1368" s="5"/>
      <c r="BN1368" s="5"/>
      <c r="BO1368" s="5"/>
    </row>
    <row r="1369" spans="2:67" ht="18.75">
      <c r="B1369" s="2"/>
      <c r="C1369" s="2"/>
      <c r="D1369" s="2"/>
      <c r="E1369" s="2"/>
      <c r="F1369" s="139" t="s">
        <v>1238</v>
      </c>
      <c r="G1369" s="139"/>
      <c r="H1369" s="139"/>
      <c r="I1369" s="139"/>
      <c r="J1369" s="139"/>
      <c r="K1369" s="139"/>
      <c r="L1369" s="139"/>
      <c r="M1369" s="139"/>
      <c r="N1369" s="139"/>
      <c r="O1369" s="139"/>
      <c r="P1369" s="139"/>
      <c r="Q1369" s="139"/>
      <c r="R1369" s="139"/>
      <c r="S1369" s="139"/>
      <c r="T1369" s="139"/>
      <c r="U1369" s="139"/>
      <c r="V1369" s="139"/>
      <c r="W1369" s="139"/>
      <c r="X1369" s="139"/>
      <c r="Y1369" s="140"/>
      <c r="Z1369" s="140"/>
      <c r="AA1369" s="140"/>
      <c r="AB1369" s="140"/>
      <c r="AC1369" s="140"/>
      <c r="AD1369" s="140"/>
      <c r="AE1369" s="141"/>
      <c r="AF1369" s="8"/>
      <c r="AG1369" s="8"/>
      <c r="AH1369" s="8"/>
      <c r="AI1369" s="8"/>
      <c r="AJ1369" s="8"/>
      <c r="AK1369" s="8"/>
      <c r="AL1369" s="142"/>
      <c r="AM1369" s="8"/>
      <c r="AN1369" s="8"/>
      <c r="AO1369" s="8"/>
      <c r="AP1369" s="8"/>
      <c r="AQ1369" s="8"/>
      <c r="AR1369" s="143"/>
      <c r="AS1369" s="8"/>
      <c r="AT1369" s="8"/>
      <c r="AU1369" s="8"/>
      <c r="AV1369" s="8"/>
      <c r="AW1369" s="8"/>
      <c r="AX1369" s="8"/>
      <c r="AY1369" s="8"/>
      <c r="AZ1369" s="8"/>
      <c r="BA1369" s="8"/>
      <c r="BB1369" s="8"/>
      <c r="BC1369" s="8"/>
      <c r="BD1369" s="8"/>
      <c r="BE1369" s="8"/>
      <c r="BF1369" s="9" t="s">
        <v>1273</v>
      </c>
      <c r="BG1369" s="10"/>
      <c r="BH1369" s="10"/>
      <c r="BI1369" s="10"/>
      <c r="BJ1369" s="10"/>
      <c r="BK1369" s="10"/>
      <c r="BL1369" s="10"/>
      <c r="BM1369" s="10"/>
      <c r="BN1369" s="10"/>
      <c r="BO1369" s="11"/>
    </row>
    <row r="1370" spans="2:67">
      <c r="B1370" s="12"/>
      <c r="C1370" s="12"/>
      <c r="D1370" s="12"/>
      <c r="E1370" s="12"/>
      <c r="F1370" s="13"/>
      <c r="G1370" s="14" t="s">
        <v>1240</v>
      </c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6"/>
      <c r="AM1370" s="15"/>
      <c r="AN1370" s="15"/>
      <c r="AO1370" s="15"/>
      <c r="AP1370" s="15"/>
      <c r="AQ1370" s="15"/>
      <c r="AR1370" s="17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8"/>
      <c r="BM1370" s="15"/>
      <c r="BN1370" s="15"/>
      <c r="BO1370" s="15"/>
    </row>
    <row r="1371" spans="2:67" ht="15">
      <c r="B1371" s="19" t="s">
        <v>4</v>
      </c>
      <c r="C1371" s="20" t="s">
        <v>5</v>
      </c>
      <c r="D1371" s="20"/>
      <c r="E1371" s="205" t="s">
        <v>6</v>
      </c>
      <c r="F1371" s="110" t="s">
        <v>135</v>
      </c>
      <c r="G1371" s="111"/>
      <c r="H1371" s="111"/>
      <c r="I1371" s="111"/>
      <c r="J1371" s="111"/>
      <c r="K1371" s="111"/>
      <c r="L1371" s="111"/>
      <c r="M1371" s="111"/>
      <c r="N1371" s="111"/>
      <c r="O1371" s="111"/>
      <c r="P1371" s="111"/>
      <c r="Q1371" s="111"/>
      <c r="R1371" s="111"/>
      <c r="S1371" s="111"/>
      <c r="T1371" s="111"/>
      <c r="U1371" s="111"/>
      <c r="V1371" s="111"/>
      <c r="W1371" s="111"/>
      <c r="X1371" s="111"/>
      <c r="Y1371" s="111"/>
      <c r="Z1371" s="111"/>
      <c r="AA1371" s="111"/>
      <c r="AB1371" s="111"/>
      <c r="AC1371" s="111"/>
      <c r="AD1371" s="111"/>
      <c r="AE1371" s="111"/>
      <c r="AF1371" s="111"/>
      <c r="AG1371" s="111"/>
      <c r="AH1371" s="111"/>
      <c r="AI1371" s="111"/>
      <c r="AJ1371" s="111"/>
      <c r="AK1371" s="111"/>
      <c r="AL1371" s="111"/>
      <c r="AM1371" s="111"/>
      <c r="AN1371" s="111"/>
      <c r="AO1371" s="111"/>
      <c r="AP1371" s="111"/>
      <c r="AQ1371" s="111"/>
      <c r="AR1371" s="111"/>
      <c r="AS1371" s="111"/>
      <c r="AT1371" s="111"/>
      <c r="AU1371" s="111"/>
      <c r="AV1371" s="111"/>
      <c r="AW1371" s="111"/>
      <c r="AX1371" s="111"/>
      <c r="AY1371" s="111"/>
      <c r="AZ1371" s="111"/>
      <c r="BA1371" s="111"/>
      <c r="BB1371" s="111"/>
      <c r="BC1371" s="111"/>
      <c r="BD1371" s="111"/>
      <c r="BE1371" s="111"/>
      <c r="BF1371" s="24" t="s">
        <v>8</v>
      </c>
      <c r="BG1371" s="25"/>
      <c r="BH1371" s="25"/>
      <c r="BI1371" s="26"/>
      <c r="BJ1371" s="31" t="s">
        <v>9</v>
      </c>
      <c r="BK1371" s="32"/>
      <c r="BL1371" s="29"/>
      <c r="BM1371" s="30"/>
      <c r="BN1371" s="31" t="s">
        <v>10</v>
      </c>
      <c r="BO1371" s="32"/>
    </row>
    <row r="1372" spans="2:67" ht="110.1" customHeight="1">
      <c r="B1372" s="33"/>
      <c r="C1372" s="34" t="s">
        <v>11</v>
      </c>
      <c r="D1372" s="35" t="s">
        <v>4</v>
      </c>
      <c r="E1372" s="35" t="s">
        <v>12</v>
      </c>
      <c r="F1372" s="36" t="s">
        <v>13</v>
      </c>
      <c r="G1372" s="36" t="s">
        <v>14</v>
      </c>
      <c r="H1372" s="36" t="s">
        <v>15</v>
      </c>
      <c r="I1372" s="36" t="s">
        <v>16</v>
      </c>
      <c r="J1372" s="36" t="s">
        <v>17</v>
      </c>
      <c r="K1372" s="36" t="s">
        <v>18</v>
      </c>
      <c r="L1372" s="36" t="s">
        <v>19</v>
      </c>
      <c r="M1372" s="36" t="s">
        <v>20</v>
      </c>
      <c r="N1372" s="37" t="s">
        <v>21</v>
      </c>
      <c r="O1372" s="36" t="s">
        <v>22</v>
      </c>
      <c r="P1372" s="36" t="s">
        <v>23</v>
      </c>
      <c r="Q1372" s="36" t="s">
        <v>24</v>
      </c>
      <c r="R1372" s="36" t="s">
        <v>25</v>
      </c>
      <c r="S1372" s="36" t="s">
        <v>26</v>
      </c>
      <c r="T1372" s="36" t="s">
        <v>27</v>
      </c>
      <c r="U1372" s="36" t="s">
        <v>28</v>
      </c>
      <c r="V1372" s="36" t="s">
        <v>29</v>
      </c>
      <c r="W1372" s="36" t="s">
        <v>30</v>
      </c>
      <c r="X1372" s="38" t="s">
        <v>31</v>
      </c>
      <c r="Y1372" s="36" t="s">
        <v>32</v>
      </c>
      <c r="Z1372" s="36" t="s">
        <v>33</v>
      </c>
      <c r="AA1372" s="36" t="s">
        <v>34</v>
      </c>
      <c r="AB1372" s="38" t="s">
        <v>35</v>
      </c>
      <c r="AC1372" s="36" t="s">
        <v>36</v>
      </c>
      <c r="AD1372" s="39" t="s">
        <v>37</v>
      </c>
      <c r="AE1372" s="36" t="s">
        <v>38</v>
      </c>
      <c r="AF1372" s="40" t="s">
        <v>39</v>
      </c>
      <c r="AG1372" s="40" t="s">
        <v>40</v>
      </c>
      <c r="AH1372" s="40" t="s">
        <v>41</v>
      </c>
      <c r="AI1372" s="40" t="s">
        <v>42</v>
      </c>
      <c r="AJ1372" s="40" t="s">
        <v>43</v>
      </c>
      <c r="AK1372" s="40" t="s">
        <v>44</v>
      </c>
      <c r="AL1372" s="41" t="s">
        <v>45</v>
      </c>
      <c r="AM1372" s="42" t="s">
        <v>46</v>
      </c>
      <c r="AN1372" s="43" t="s">
        <v>47</v>
      </c>
      <c r="AO1372" s="40" t="s">
        <v>48</v>
      </c>
      <c r="AP1372" s="40" t="s">
        <v>49</v>
      </c>
      <c r="AQ1372" s="40" t="s">
        <v>50</v>
      </c>
      <c r="AR1372" s="44" t="s">
        <v>136</v>
      </c>
      <c r="AS1372" s="36" t="s">
        <v>52</v>
      </c>
      <c r="AT1372" s="36" t="s">
        <v>53</v>
      </c>
      <c r="AU1372" s="36" t="s">
        <v>54</v>
      </c>
      <c r="AV1372" s="36" t="s">
        <v>55</v>
      </c>
      <c r="AW1372" s="36" t="s">
        <v>56</v>
      </c>
      <c r="AX1372" s="36" t="s">
        <v>203</v>
      </c>
      <c r="AY1372" s="36" t="s">
        <v>58</v>
      </c>
      <c r="AZ1372" s="38" t="s">
        <v>59</v>
      </c>
      <c r="BA1372" s="36" t="s">
        <v>60</v>
      </c>
      <c r="BB1372" s="36" t="s">
        <v>1241</v>
      </c>
      <c r="BC1372" s="39" t="s">
        <v>62</v>
      </c>
      <c r="BD1372" s="36" t="s">
        <v>63</v>
      </c>
      <c r="BE1372" s="36" t="s">
        <v>64</v>
      </c>
      <c r="BF1372" s="45" t="s">
        <v>65</v>
      </c>
      <c r="BG1372" s="45" t="s">
        <v>66</v>
      </c>
      <c r="BH1372" s="45" t="s">
        <v>67</v>
      </c>
      <c r="BI1372" s="45" t="s">
        <v>68</v>
      </c>
      <c r="BJ1372" s="46" t="s">
        <v>69</v>
      </c>
      <c r="BK1372" s="46" t="s">
        <v>70</v>
      </c>
      <c r="BL1372" s="47" t="s">
        <v>71</v>
      </c>
      <c r="BM1372" s="48" t="s">
        <v>72</v>
      </c>
      <c r="BN1372" s="49" t="s">
        <v>69</v>
      </c>
      <c r="BO1372" s="50" t="s">
        <v>70</v>
      </c>
    </row>
    <row r="1373" spans="2:67" ht="18.95" customHeight="1">
      <c r="B1373" s="51" t="s">
        <v>138</v>
      </c>
      <c r="C1373" s="52" t="s">
        <v>1242</v>
      </c>
      <c r="D1373" s="53" t="s">
        <v>138</v>
      </c>
      <c r="E1373" s="230" t="s">
        <v>1274</v>
      </c>
      <c r="F1373" s="55"/>
      <c r="G1373" s="55"/>
      <c r="H1373" s="55"/>
      <c r="I1373" s="55"/>
      <c r="J1373" s="55"/>
      <c r="K1373" s="55"/>
      <c r="L1373" s="55"/>
      <c r="M1373" s="55"/>
      <c r="N1373" s="56"/>
      <c r="O1373" s="55"/>
      <c r="P1373" s="55"/>
      <c r="Q1373" s="57"/>
      <c r="R1373" s="55"/>
      <c r="S1373" s="58"/>
      <c r="T1373" s="58"/>
      <c r="U1373" s="55"/>
      <c r="V1373" s="55"/>
      <c r="W1373" s="55"/>
      <c r="X1373" s="55"/>
      <c r="Y1373" s="55"/>
      <c r="Z1373" s="55"/>
      <c r="AA1373" s="55"/>
      <c r="AB1373" s="55"/>
      <c r="AC1373" s="55"/>
      <c r="AD1373" s="55"/>
      <c r="AE1373" s="57"/>
      <c r="AF1373" s="57"/>
      <c r="AG1373" s="57"/>
      <c r="AH1373" s="57"/>
      <c r="AI1373" s="57"/>
      <c r="AJ1373" s="57"/>
      <c r="AK1373" s="57"/>
      <c r="AL1373" s="59"/>
      <c r="AM1373" s="57"/>
      <c r="AN1373" s="57"/>
      <c r="AO1373" s="55"/>
      <c r="AP1373" s="55"/>
      <c r="AQ1373" s="57"/>
      <c r="AR1373" s="60"/>
      <c r="AS1373" s="57"/>
      <c r="AT1373" s="57"/>
      <c r="AU1373" s="57"/>
      <c r="AV1373" s="61"/>
      <c r="AW1373" s="61"/>
      <c r="AX1373" s="61"/>
      <c r="AY1373" s="61"/>
      <c r="AZ1373" s="61"/>
      <c r="BA1373" s="193">
        <v>1</v>
      </c>
      <c r="BB1373" s="61"/>
      <c r="BC1373" s="61"/>
      <c r="BD1373" s="61"/>
      <c r="BE1373" s="61"/>
      <c r="BF1373" s="55">
        <v>1</v>
      </c>
      <c r="BG1373" s="62"/>
      <c r="BH1373" s="63">
        <f t="shared" ref="BH1373:BH1385" si="61">SUM(F1373:BG1373)</f>
        <v>2</v>
      </c>
      <c r="BI1373" s="64">
        <v>2</v>
      </c>
      <c r="BJ1373" s="62"/>
      <c r="BK1373" s="203">
        <f t="shared" ref="BK1373:BK1402" si="62">BH1373-BI1373</f>
        <v>0</v>
      </c>
      <c r="BL1373" s="64"/>
      <c r="BM1373" s="65"/>
      <c r="BN1373" s="65"/>
      <c r="BO1373" s="65"/>
    </row>
    <row r="1374" spans="2:67" ht="18.95" customHeight="1">
      <c r="B1374" s="51" t="s">
        <v>140</v>
      </c>
      <c r="C1374" s="52" t="s">
        <v>1242</v>
      </c>
      <c r="D1374" s="53" t="s">
        <v>140</v>
      </c>
      <c r="E1374" s="231" t="s">
        <v>1275</v>
      </c>
      <c r="F1374" s="66"/>
      <c r="G1374" s="66"/>
      <c r="H1374" s="66"/>
      <c r="I1374" s="66"/>
      <c r="J1374" s="66"/>
      <c r="K1374" s="66"/>
      <c r="L1374" s="66"/>
      <c r="M1374" s="66"/>
      <c r="N1374" s="67"/>
      <c r="O1374" s="66"/>
      <c r="P1374" s="66"/>
      <c r="Q1374" s="66"/>
      <c r="R1374" s="66"/>
      <c r="S1374" s="66"/>
      <c r="T1374" s="66"/>
      <c r="U1374" s="66"/>
      <c r="V1374" s="66"/>
      <c r="W1374" s="66"/>
      <c r="X1374" s="66"/>
      <c r="Y1374" s="66"/>
      <c r="Z1374" s="66"/>
      <c r="AA1374" s="66"/>
      <c r="AB1374" s="66"/>
      <c r="AC1374" s="66"/>
      <c r="AD1374" s="66"/>
      <c r="AE1374" s="66"/>
      <c r="AF1374" s="66"/>
      <c r="AG1374" s="66"/>
      <c r="AH1374" s="66"/>
      <c r="AI1374" s="66"/>
      <c r="AJ1374" s="66"/>
      <c r="AK1374" s="66"/>
      <c r="AL1374" s="66"/>
      <c r="AM1374" s="66"/>
      <c r="AN1374" s="66"/>
      <c r="AO1374" s="66"/>
      <c r="AP1374" s="66"/>
      <c r="AQ1374" s="66"/>
      <c r="AR1374" s="68"/>
      <c r="AS1374" s="66"/>
      <c r="AT1374" s="66"/>
      <c r="AU1374" s="66"/>
      <c r="AV1374" s="69"/>
      <c r="AW1374" s="69"/>
      <c r="AX1374" s="69"/>
      <c r="AY1374" s="69"/>
      <c r="AZ1374" s="69"/>
      <c r="BA1374" s="69"/>
      <c r="BB1374" s="69"/>
      <c r="BC1374" s="69"/>
      <c r="BD1374" s="69"/>
      <c r="BE1374" s="69"/>
      <c r="BF1374" s="55">
        <v>1</v>
      </c>
      <c r="BG1374" s="70"/>
      <c r="BH1374" s="63">
        <f t="shared" si="61"/>
        <v>1</v>
      </c>
      <c r="BI1374" s="63">
        <v>1</v>
      </c>
      <c r="BJ1374" s="70"/>
      <c r="BK1374" s="203">
        <f t="shared" si="62"/>
        <v>0</v>
      </c>
      <c r="BL1374" s="63"/>
      <c r="BM1374" s="71"/>
      <c r="BN1374" s="71"/>
      <c r="BO1374" s="72"/>
    </row>
    <row r="1375" spans="2:67" ht="18.95" customHeight="1">
      <c r="B1375" s="51" t="s">
        <v>143</v>
      </c>
      <c r="C1375" s="52" t="s">
        <v>1242</v>
      </c>
      <c r="D1375" s="53" t="s">
        <v>143</v>
      </c>
      <c r="E1375" s="230" t="s">
        <v>1276</v>
      </c>
      <c r="F1375" s="66"/>
      <c r="G1375" s="66"/>
      <c r="H1375" s="66"/>
      <c r="I1375" s="66"/>
      <c r="J1375" s="66"/>
      <c r="K1375" s="66"/>
      <c r="L1375" s="66"/>
      <c r="M1375" s="66"/>
      <c r="N1375" s="67"/>
      <c r="O1375" s="66"/>
      <c r="P1375" s="66"/>
      <c r="Q1375" s="66"/>
      <c r="R1375" s="66"/>
      <c r="S1375" s="66"/>
      <c r="T1375" s="66"/>
      <c r="U1375" s="66"/>
      <c r="V1375" s="66"/>
      <c r="W1375" s="66"/>
      <c r="X1375" s="66"/>
      <c r="Y1375" s="66"/>
      <c r="Z1375" s="66"/>
      <c r="AA1375" s="66"/>
      <c r="AB1375" s="66"/>
      <c r="AC1375" s="66"/>
      <c r="AD1375" s="66"/>
      <c r="AE1375" s="66"/>
      <c r="AF1375" s="66"/>
      <c r="AG1375" s="66"/>
      <c r="AH1375" s="66"/>
      <c r="AI1375" s="66"/>
      <c r="AJ1375" s="66"/>
      <c r="AK1375" s="66"/>
      <c r="AL1375" s="66"/>
      <c r="AM1375" s="66"/>
      <c r="AN1375" s="66"/>
      <c r="AO1375" s="66"/>
      <c r="AP1375" s="66"/>
      <c r="AQ1375" s="66"/>
      <c r="AR1375" s="68"/>
      <c r="AS1375" s="66"/>
      <c r="AT1375" s="66"/>
      <c r="AU1375" s="66"/>
      <c r="AV1375" s="69"/>
      <c r="AW1375" s="69"/>
      <c r="AX1375" s="69"/>
      <c r="AY1375" s="69"/>
      <c r="AZ1375" s="69"/>
      <c r="BA1375" s="69"/>
      <c r="BB1375" s="69"/>
      <c r="BC1375" s="69"/>
      <c r="BD1375" s="69"/>
      <c r="BE1375" s="69"/>
      <c r="BF1375" s="55">
        <v>1</v>
      </c>
      <c r="BG1375" s="70"/>
      <c r="BH1375" s="63">
        <f t="shared" si="61"/>
        <v>1</v>
      </c>
      <c r="BI1375" s="63">
        <v>1</v>
      </c>
      <c r="BJ1375" s="70"/>
      <c r="BK1375" s="203">
        <f t="shared" si="62"/>
        <v>0</v>
      </c>
      <c r="BL1375" s="63"/>
      <c r="BM1375" s="71"/>
      <c r="BN1375" s="72"/>
      <c r="BO1375" s="71"/>
    </row>
    <row r="1376" spans="2:67" ht="18.95" customHeight="1">
      <c r="B1376" s="51" t="s">
        <v>145</v>
      </c>
      <c r="C1376" s="52" t="s">
        <v>1242</v>
      </c>
      <c r="D1376" s="53" t="s">
        <v>145</v>
      </c>
      <c r="E1376" s="230" t="s">
        <v>1277</v>
      </c>
      <c r="F1376" s="66"/>
      <c r="G1376" s="66"/>
      <c r="H1376" s="66"/>
      <c r="I1376" s="66"/>
      <c r="J1376" s="66"/>
      <c r="K1376" s="66"/>
      <c r="L1376" s="66"/>
      <c r="M1376" s="66"/>
      <c r="N1376" s="67"/>
      <c r="O1376" s="66"/>
      <c r="P1376" s="66"/>
      <c r="Q1376" s="66"/>
      <c r="R1376" s="66"/>
      <c r="S1376" s="66"/>
      <c r="T1376" s="66"/>
      <c r="U1376" s="66"/>
      <c r="V1376" s="66"/>
      <c r="W1376" s="66"/>
      <c r="X1376" s="66"/>
      <c r="Y1376" s="66"/>
      <c r="Z1376" s="66"/>
      <c r="AA1376" s="66"/>
      <c r="AB1376" s="66"/>
      <c r="AC1376" s="66"/>
      <c r="AD1376" s="66"/>
      <c r="AE1376" s="66"/>
      <c r="AF1376" s="66"/>
      <c r="AG1376" s="66"/>
      <c r="AH1376" s="66"/>
      <c r="AI1376" s="66"/>
      <c r="AJ1376" s="66"/>
      <c r="AK1376" s="66"/>
      <c r="AL1376" s="66"/>
      <c r="AM1376" s="66"/>
      <c r="AN1376" s="66"/>
      <c r="AO1376" s="66"/>
      <c r="AP1376" s="66"/>
      <c r="AQ1376" s="66"/>
      <c r="AR1376" s="68"/>
      <c r="AS1376" s="66"/>
      <c r="AT1376" s="66"/>
      <c r="AU1376" s="66"/>
      <c r="AV1376" s="69"/>
      <c r="AW1376" s="69"/>
      <c r="AX1376" s="69"/>
      <c r="AY1376" s="69"/>
      <c r="AZ1376" s="69"/>
      <c r="BA1376" s="69"/>
      <c r="BB1376" s="69"/>
      <c r="BC1376" s="69"/>
      <c r="BD1376" s="69"/>
      <c r="BE1376" s="69"/>
      <c r="BF1376" s="55">
        <v>1</v>
      </c>
      <c r="BG1376" s="70"/>
      <c r="BH1376" s="63">
        <f t="shared" si="61"/>
        <v>1</v>
      </c>
      <c r="BI1376" s="63">
        <v>1</v>
      </c>
      <c r="BJ1376" s="70"/>
      <c r="BK1376" s="203">
        <f t="shared" si="62"/>
        <v>0</v>
      </c>
      <c r="BL1376" s="63"/>
      <c r="BM1376" s="71"/>
      <c r="BN1376" s="71"/>
      <c r="BO1376" s="71"/>
    </row>
    <row r="1377" spans="2:67" ht="18.95" customHeight="1">
      <c r="B1377" s="51" t="s">
        <v>147</v>
      </c>
      <c r="C1377" s="52" t="s">
        <v>1242</v>
      </c>
      <c r="D1377" s="53" t="s">
        <v>147</v>
      </c>
      <c r="E1377" s="232" t="s">
        <v>1278</v>
      </c>
      <c r="F1377" s="66"/>
      <c r="G1377" s="66"/>
      <c r="H1377" s="66"/>
      <c r="I1377" s="66"/>
      <c r="J1377" s="66"/>
      <c r="K1377" s="66"/>
      <c r="L1377" s="66"/>
      <c r="M1377" s="66"/>
      <c r="N1377" s="67"/>
      <c r="O1377" s="66"/>
      <c r="P1377" s="66"/>
      <c r="Q1377" s="66"/>
      <c r="R1377" s="66"/>
      <c r="S1377" s="66"/>
      <c r="T1377" s="66"/>
      <c r="U1377" s="66"/>
      <c r="V1377" s="66"/>
      <c r="W1377" s="66"/>
      <c r="X1377" s="66"/>
      <c r="Y1377" s="66"/>
      <c r="Z1377" s="66"/>
      <c r="AA1377" s="66"/>
      <c r="AB1377" s="66"/>
      <c r="AC1377" s="66"/>
      <c r="AD1377" s="66"/>
      <c r="AE1377" s="66"/>
      <c r="AF1377" s="66"/>
      <c r="AG1377" s="66"/>
      <c r="AH1377" s="66"/>
      <c r="AI1377" s="66"/>
      <c r="AJ1377" s="66"/>
      <c r="AK1377" s="66"/>
      <c r="AL1377" s="66"/>
      <c r="AM1377" s="66"/>
      <c r="AN1377" s="66"/>
      <c r="AO1377" s="66"/>
      <c r="AP1377" s="66"/>
      <c r="AQ1377" s="66"/>
      <c r="AR1377" s="68"/>
      <c r="AS1377" s="66"/>
      <c r="AT1377" s="66"/>
      <c r="AU1377" s="66"/>
      <c r="AV1377" s="69"/>
      <c r="AW1377" s="69"/>
      <c r="AX1377" s="69"/>
      <c r="AY1377" s="69"/>
      <c r="AZ1377" s="69"/>
      <c r="BA1377" s="69"/>
      <c r="BB1377" s="69"/>
      <c r="BC1377" s="69"/>
      <c r="BD1377" s="69"/>
      <c r="BE1377" s="69"/>
      <c r="BF1377" s="55">
        <v>2</v>
      </c>
      <c r="BG1377" s="70"/>
      <c r="BH1377" s="63">
        <f t="shared" si="61"/>
        <v>2</v>
      </c>
      <c r="BI1377" s="63">
        <v>2</v>
      </c>
      <c r="BJ1377" s="70"/>
      <c r="BK1377" s="203">
        <f t="shared" si="62"/>
        <v>0</v>
      </c>
      <c r="BL1377" s="63"/>
      <c r="BM1377" s="71"/>
      <c r="BN1377" s="71"/>
      <c r="BO1377" s="71"/>
    </row>
    <row r="1378" spans="2:67" ht="18.95" customHeight="1">
      <c r="B1378" s="51" t="s">
        <v>149</v>
      </c>
      <c r="C1378" s="52" t="s">
        <v>1242</v>
      </c>
      <c r="D1378" s="53" t="s">
        <v>149</v>
      </c>
      <c r="E1378" s="233" t="s">
        <v>1279</v>
      </c>
      <c r="F1378" s="66"/>
      <c r="G1378" s="66"/>
      <c r="H1378" s="66"/>
      <c r="I1378" s="66"/>
      <c r="J1378" s="66"/>
      <c r="K1378" s="66"/>
      <c r="L1378" s="66"/>
      <c r="M1378" s="66"/>
      <c r="N1378" s="67"/>
      <c r="O1378" s="66"/>
      <c r="P1378" s="66"/>
      <c r="Q1378" s="66"/>
      <c r="R1378" s="66"/>
      <c r="S1378" s="66"/>
      <c r="T1378" s="66"/>
      <c r="U1378" s="66"/>
      <c r="V1378" s="66"/>
      <c r="W1378" s="66"/>
      <c r="X1378" s="66"/>
      <c r="Y1378" s="66"/>
      <c r="Z1378" s="66"/>
      <c r="AA1378" s="66"/>
      <c r="AB1378" s="66"/>
      <c r="AC1378" s="66"/>
      <c r="AD1378" s="66"/>
      <c r="AE1378" s="66"/>
      <c r="AF1378" s="66"/>
      <c r="AG1378" s="66"/>
      <c r="AH1378" s="66"/>
      <c r="AI1378" s="66"/>
      <c r="AJ1378" s="66"/>
      <c r="AK1378" s="66"/>
      <c r="AL1378" s="66"/>
      <c r="AM1378" s="66"/>
      <c r="AN1378" s="66"/>
      <c r="AO1378" s="66"/>
      <c r="AP1378" s="66"/>
      <c r="AQ1378" s="66"/>
      <c r="AR1378" s="68"/>
      <c r="AS1378" s="66"/>
      <c r="AT1378" s="66"/>
      <c r="AU1378" s="66"/>
      <c r="AV1378" s="69"/>
      <c r="AW1378" s="69"/>
      <c r="AX1378" s="69"/>
      <c r="AY1378" s="69"/>
      <c r="AZ1378" s="69"/>
      <c r="BA1378" s="69">
        <v>2</v>
      </c>
      <c r="BB1378" s="69"/>
      <c r="BC1378" s="69"/>
      <c r="BD1378" s="69"/>
      <c r="BE1378" s="69"/>
      <c r="BF1378" s="55">
        <v>1</v>
      </c>
      <c r="BG1378" s="70"/>
      <c r="BH1378" s="63">
        <f t="shared" si="61"/>
        <v>3</v>
      </c>
      <c r="BI1378" s="63">
        <v>3</v>
      </c>
      <c r="BJ1378" s="70"/>
      <c r="BK1378" s="203">
        <f t="shared" si="62"/>
        <v>0</v>
      </c>
      <c r="BL1378" s="63"/>
      <c r="BM1378" s="71"/>
      <c r="BN1378" s="71"/>
      <c r="BO1378" s="71"/>
    </row>
    <row r="1379" spans="2:67" ht="18.95" customHeight="1">
      <c r="B1379" s="51" t="s">
        <v>151</v>
      </c>
      <c r="C1379" s="52" t="s">
        <v>1242</v>
      </c>
      <c r="D1379" s="53" t="s">
        <v>151</v>
      </c>
      <c r="E1379" s="232" t="s">
        <v>1280</v>
      </c>
      <c r="F1379" s="66"/>
      <c r="G1379" s="66"/>
      <c r="H1379" s="66"/>
      <c r="I1379" s="66"/>
      <c r="J1379" s="66"/>
      <c r="K1379" s="66"/>
      <c r="L1379" s="66"/>
      <c r="M1379" s="66"/>
      <c r="N1379" s="67"/>
      <c r="O1379" s="66"/>
      <c r="P1379" s="66"/>
      <c r="Q1379" s="66"/>
      <c r="R1379" s="66"/>
      <c r="S1379" s="66"/>
      <c r="T1379" s="66"/>
      <c r="U1379" s="66"/>
      <c r="V1379" s="66"/>
      <c r="W1379" s="66"/>
      <c r="X1379" s="66"/>
      <c r="Y1379" s="66"/>
      <c r="Z1379" s="66"/>
      <c r="AA1379" s="66"/>
      <c r="AB1379" s="66"/>
      <c r="AC1379" s="66"/>
      <c r="AD1379" s="66"/>
      <c r="AE1379" s="66"/>
      <c r="AF1379" s="66"/>
      <c r="AG1379" s="66"/>
      <c r="AH1379" s="66"/>
      <c r="AI1379" s="66"/>
      <c r="AJ1379" s="66"/>
      <c r="AK1379" s="66"/>
      <c r="AL1379" s="66"/>
      <c r="AM1379" s="66"/>
      <c r="AN1379" s="66"/>
      <c r="AO1379" s="66"/>
      <c r="AP1379" s="66"/>
      <c r="AQ1379" s="66"/>
      <c r="AR1379" s="68"/>
      <c r="AS1379" s="66"/>
      <c r="AT1379" s="66"/>
      <c r="AU1379" s="66"/>
      <c r="AV1379" s="69"/>
      <c r="AW1379" s="69"/>
      <c r="AX1379" s="69"/>
      <c r="AY1379" s="69"/>
      <c r="AZ1379" s="69"/>
      <c r="BA1379" s="69"/>
      <c r="BB1379" s="69"/>
      <c r="BC1379" s="69"/>
      <c r="BD1379" s="69"/>
      <c r="BE1379" s="69"/>
      <c r="BF1379" s="55">
        <v>1</v>
      </c>
      <c r="BG1379" s="70"/>
      <c r="BH1379" s="63">
        <f t="shared" si="61"/>
        <v>1</v>
      </c>
      <c r="BI1379" s="63">
        <v>1</v>
      </c>
      <c r="BJ1379" s="70"/>
      <c r="BK1379" s="203">
        <f t="shared" si="62"/>
        <v>0</v>
      </c>
      <c r="BL1379" s="63"/>
      <c r="BM1379" s="71"/>
      <c r="BN1379" s="71"/>
      <c r="BO1379" s="71"/>
    </row>
    <row r="1380" spans="2:67" ht="18.95" customHeight="1">
      <c r="B1380" s="51" t="s">
        <v>153</v>
      </c>
      <c r="C1380" s="52" t="s">
        <v>1242</v>
      </c>
      <c r="D1380" s="53" t="s">
        <v>153</v>
      </c>
      <c r="E1380" s="232" t="s">
        <v>1281</v>
      </c>
      <c r="F1380" s="66"/>
      <c r="G1380" s="66"/>
      <c r="H1380" s="66"/>
      <c r="I1380" s="66"/>
      <c r="J1380" s="66"/>
      <c r="K1380" s="66"/>
      <c r="L1380" s="66"/>
      <c r="M1380" s="66"/>
      <c r="N1380" s="67"/>
      <c r="O1380" s="66"/>
      <c r="P1380" s="66"/>
      <c r="Q1380" s="66"/>
      <c r="R1380" s="66"/>
      <c r="S1380" s="66"/>
      <c r="T1380" s="66"/>
      <c r="U1380" s="66"/>
      <c r="V1380" s="66"/>
      <c r="W1380" s="66"/>
      <c r="X1380" s="66"/>
      <c r="Y1380" s="66"/>
      <c r="Z1380" s="66"/>
      <c r="AA1380" s="66"/>
      <c r="AB1380" s="66"/>
      <c r="AC1380" s="66"/>
      <c r="AD1380" s="66"/>
      <c r="AE1380" s="66"/>
      <c r="AF1380" s="66"/>
      <c r="AG1380" s="66"/>
      <c r="AH1380" s="66"/>
      <c r="AI1380" s="66"/>
      <c r="AJ1380" s="66"/>
      <c r="AK1380" s="66"/>
      <c r="AL1380" s="66"/>
      <c r="AM1380" s="66"/>
      <c r="AN1380" s="66"/>
      <c r="AO1380" s="66"/>
      <c r="AP1380" s="66"/>
      <c r="AQ1380" s="66"/>
      <c r="AR1380" s="68"/>
      <c r="AS1380" s="66"/>
      <c r="AT1380" s="66"/>
      <c r="AU1380" s="66"/>
      <c r="AV1380" s="69"/>
      <c r="AW1380" s="69"/>
      <c r="AX1380" s="69"/>
      <c r="AY1380" s="69"/>
      <c r="AZ1380" s="69"/>
      <c r="BA1380" s="69"/>
      <c r="BB1380" s="69"/>
      <c r="BC1380" s="69"/>
      <c r="BD1380" s="69"/>
      <c r="BE1380" s="69"/>
      <c r="BF1380" s="55">
        <v>1</v>
      </c>
      <c r="BG1380" s="70"/>
      <c r="BH1380" s="63">
        <f t="shared" si="61"/>
        <v>1</v>
      </c>
      <c r="BI1380" s="63">
        <v>1</v>
      </c>
      <c r="BJ1380" s="70"/>
      <c r="BK1380" s="203">
        <f t="shared" si="62"/>
        <v>0</v>
      </c>
      <c r="BL1380" s="63"/>
      <c r="BM1380" s="71"/>
      <c r="BN1380" s="71"/>
      <c r="BO1380" s="71"/>
    </row>
    <row r="1381" spans="2:67" ht="18.95" customHeight="1">
      <c r="B1381" s="51" t="s">
        <v>155</v>
      </c>
      <c r="C1381" s="52" t="s">
        <v>1242</v>
      </c>
      <c r="D1381" s="53" t="s">
        <v>155</v>
      </c>
      <c r="E1381" s="232" t="s">
        <v>1282</v>
      </c>
      <c r="F1381" s="66"/>
      <c r="G1381" s="66"/>
      <c r="H1381" s="66"/>
      <c r="I1381" s="66"/>
      <c r="J1381" s="66"/>
      <c r="K1381" s="66"/>
      <c r="L1381" s="66"/>
      <c r="M1381" s="66"/>
      <c r="N1381" s="67"/>
      <c r="O1381" s="66"/>
      <c r="P1381" s="66"/>
      <c r="Q1381" s="66"/>
      <c r="R1381" s="66"/>
      <c r="S1381" s="66"/>
      <c r="T1381" s="66"/>
      <c r="U1381" s="66"/>
      <c r="V1381" s="66"/>
      <c r="W1381" s="66"/>
      <c r="X1381" s="66"/>
      <c r="Y1381" s="66"/>
      <c r="Z1381" s="66"/>
      <c r="AA1381" s="66"/>
      <c r="AB1381" s="66">
        <v>1</v>
      </c>
      <c r="AC1381" s="66"/>
      <c r="AD1381" s="66">
        <v>1</v>
      </c>
      <c r="AE1381" s="66"/>
      <c r="AF1381" s="66"/>
      <c r="AG1381" s="66"/>
      <c r="AH1381" s="66">
        <v>1</v>
      </c>
      <c r="AI1381" s="66"/>
      <c r="AJ1381" s="66"/>
      <c r="AK1381" s="66"/>
      <c r="AL1381" s="66"/>
      <c r="AM1381" s="66"/>
      <c r="AN1381" s="66"/>
      <c r="AO1381" s="66"/>
      <c r="AP1381" s="66"/>
      <c r="AQ1381" s="66"/>
      <c r="AR1381" s="68"/>
      <c r="AS1381" s="66"/>
      <c r="AT1381" s="66"/>
      <c r="AU1381" s="66"/>
      <c r="AV1381" s="69"/>
      <c r="AW1381" s="69"/>
      <c r="AX1381" s="69"/>
      <c r="AY1381" s="69"/>
      <c r="AZ1381" s="69"/>
      <c r="BA1381" s="69"/>
      <c r="BB1381" s="69"/>
      <c r="BC1381" s="69"/>
      <c r="BD1381" s="69"/>
      <c r="BE1381" s="69"/>
      <c r="BF1381" s="55"/>
      <c r="BG1381" s="70"/>
      <c r="BH1381" s="63">
        <f t="shared" si="61"/>
        <v>3</v>
      </c>
      <c r="BI1381" s="63">
        <v>14</v>
      </c>
      <c r="BJ1381" s="70"/>
      <c r="BK1381" s="203">
        <f t="shared" si="62"/>
        <v>-11</v>
      </c>
      <c r="BL1381" s="63"/>
      <c r="BM1381" s="71"/>
      <c r="BN1381" s="71"/>
      <c r="BO1381" s="71"/>
    </row>
    <row r="1382" spans="2:67" ht="18.95" customHeight="1">
      <c r="B1382" s="51" t="s">
        <v>157</v>
      </c>
      <c r="C1382" s="52" t="s">
        <v>1242</v>
      </c>
      <c r="D1382" s="53" t="s">
        <v>157</v>
      </c>
      <c r="E1382" s="234" t="s">
        <v>1283</v>
      </c>
      <c r="F1382" s="66"/>
      <c r="G1382" s="66"/>
      <c r="H1382" s="66"/>
      <c r="I1382" s="66">
        <v>2</v>
      </c>
      <c r="J1382" s="66"/>
      <c r="K1382" s="66"/>
      <c r="L1382" s="66"/>
      <c r="M1382" s="66"/>
      <c r="N1382" s="67"/>
      <c r="O1382" s="66"/>
      <c r="P1382" s="66"/>
      <c r="Q1382" s="66"/>
      <c r="R1382" s="66"/>
      <c r="S1382" s="66"/>
      <c r="T1382" s="66"/>
      <c r="U1382" s="66"/>
      <c r="V1382" s="66"/>
      <c r="W1382" s="66"/>
      <c r="X1382" s="66"/>
      <c r="Y1382" s="66"/>
      <c r="Z1382" s="66"/>
      <c r="AA1382" s="66"/>
      <c r="AB1382" s="66"/>
      <c r="AC1382" s="66"/>
      <c r="AD1382" s="66"/>
      <c r="AE1382" s="66"/>
      <c r="AF1382" s="66"/>
      <c r="AG1382" s="66"/>
      <c r="AH1382" s="66"/>
      <c r="AI1382" s="66"/>
      <c r="AJ1382" s="66"/>
      <c r="AK1382" s="66"/>
      <c r="AL1382" s="66"/>
      <c r="AM1382" s="66"/>
      <c r="AN1382" s="66"/>
      <c r="AO1382" s="66"/>
      <c r="AP1382" s="66"/>
      <c r="AQ1382" s="66"/>
      <c r="AR1382" s="68"/>
      <c r="AS1382" s="66"/>
      <c r="AT1382" s="66"/>
      <c r="AU1382" s="66"/>
      <c r="AV1382" s="69"/>
      <c r="AW1382" s="69"/>
      <c r="AX1382" s="69"/>
      <c r="AY1382" s="69"/>
      <c r="AZ1382" s="69"/>
      <c r="BA1382" s="69"/>
      <c r="BB1382" s="69"/>
      <c r="BC1382" s="69"/>
      <c r="BD1382" s="69"/>
      <c r="BE1382" s="69"/>
      <c r="BF1382" s="55"/>
      <c r="BG1382" s="70"/>
      <c r="BH1382" s="63">
        <f t="shared" si="61"/>
        <v>2</v>
      </c>
      <c r="BI1382" s="63">
        <v>2</v>
      </c>
      <c r="BJ1382" s="70"/>
      <c r="BK1382" s="203">
        <f t="shared" si="62"/>
        <v>0</v>
      </c>
      <c r="BL1382" s="63"/>
      <c r="BM1382" s="71"/>
      <c r="BN1382" s="71"/>
      <c r="BO1382" s="71"/>
    </row>
    <row r="1383" spans="2:67" ht="18.95" customHeight="1">
      <c r="B1383" s="51" t="s">
        <v>159</v>
      </c>
      <c r="C1383" s="52" t="s">
        <v>1242</v>
      </c>
      <c r="D1383" s="53" t="s">
        <v>159</v>
      </c>
      <c r="E1383" s="235" t="s">
        <v>1284</v>
      </c>
      <c r="F1383" s="66"/>
      <c r="G1383" s="66"/>
      <c r="H1383" s="66"/>
      <c r="I1383" s="66"/>
      <c r="J1383" s="66"/>
      <c r="K1383" s="66"/>
      <c r="L1383" s="66"/>
      <c r="M1383" s="66"/>
      <c r="N1383" s="67"/>
      <c r="O1383" s="66"/>
      <c r="P1383" s="66"/>
      <c r="Q1383" s="66"/>
      <c r="R1383" s="66"/>
      <c r="S1383" s="66"/>
      <c r="T1383" s="66"/>
      <c r="U1383" s="66"/>
      <c r="V1383" s="66"/>
      <c r="W1383" s="66"/>
      <c r="X1383" s="66"/>
      <c r="Y1383" s="66"/>
      <c r="Z1383" s="66"/>
      <c r="AA1383" s="66"/>
      <c r="AB1383" s="66"/>
      <c r="AC1383" s="66"/>
      <c r="AD1383" s="66"/>
      <c r="AE1383" s="66"/>
      <c r="AF1383" s="66"/>
      <c r="AG1383" s="66"/>
      <c r="AH1383" s="66"/>
      <c r="AI1383" s="66"/>
      <c r="AJ1383" s="66"/>
      <c r="AK1383" s="66"/>
      <c r="AL1383" s="66"/>
      <c r="AM1383" s="66"/>
      <c r="AN1383" s="66"/>
      <c r="AO1383" s="66"/>
      <c r="AP1383" s="66"/>
      <c r="AQ1383" s="66"/>
      <c r="AR1383" s="68"/>
      <c r="AS1383" s="66"/>
      <c r="AT1383" s="66"/>
      <c r="AU1383" s="66"/>
      <c r="AV1383" s="69"/>
      <c r="AW1383" s="69"/>
      <c r="AX1383" s="69"/>
      <c r="AY1383" s="69"/>
      <c r="AZ1383" s="69"/>
      <c r="BA1383" s="69"/>
      <c r="BB1383" s="69"/>
      <c r="BC1383" s="69"/>
      <c r="BD1383" s="69"/>
      <c r="BE1383" s="69"/>
      <c r="BF1383" s="55">
        <v>14</v>
      </c>
      <c r="BG1383" s="70"/>
      <c r="BH1383" s="63">
        <f t="shared" si="61"/>
        <v>14</v>
      </c>
      <c r="BI1383" s="63">
        <v>14</v>
      </c>
      <c r="BJ1383" s="70"/>
      <c r="BK1383" s="203">
        <f t="shared" si="62"/>
        <v>0</v>
      </c>
      <c r="BL1383" s="63"/>
      <c r="BM1383" s="71"/>
      <c r="BN1383" s="71"/>
      <c r="BO1383" s="71"/>
    </row>
    <row r="1384" spans="2:67" ht="18.75" customHeight="1">
      <c r="B1384" s="51" t="s">
        <v>161</v>
      </c>
      <c r="C1384" s="52" t="s">
        <v>1242</v>
      </c>
      <c r="D1384" s="53" t="s">
        <v>161</v>
      </c>
      <c r="E1384" s="232" t="s">
        <v>1285</v>
      </c>
      <c r="F1384" s="66"/>
      <c r="G1384" s="66"/>
      <c r="H1384" s="66"/>
      <c r="I1384" s="66"/>
      <c r="J1384" s="66"/>
      <c r="K1384" s="66"/>
      <c r="L1384" s="66"/>
      <c r="M1384" s="66"/>
      <c r="N1384" s="67"/>
      <c r="O1384" s="66"/>
      <c r="P1384" s="66"/>
      <c r="Q1384" s="66"/>
      <c r="R1384" s="66"/>
      <c r="S1384" s="66"/>
      <c r="T1384" s="66"/>
      <c r="U1384" s="66"/>
      <c r="V1384" s="66"/>
      <c r="W1384" s="66"/>
      <c r="X1384" s="66"/>
      <c r="Y1384" s="66"/>
      <c r="Z1384" s="66"/>
      <c r="AA1384" s="66"/>
      <c r="AB1384" s="66"/>
      <c r="AC1384" s="66"/>
      <c r="AD1384" s="66"/>
      <c r="AE1384" s="66"/>
      <c r="AF1384" s="66"/>
      <c r="AG1384" s="66"/>
      <c r="AH1384" s="66"/>
      <c r="AI1384" s="66"/>
      <c r="AJ1384" s="66"/>
      <c r="AK1384" s="66"/>
      <c r="AL1384" s="66"/>
      <c r="AM1384" s="66"/>
      <c r="AN1384" s="66"/>
      <c r="AO1384" s="66"/>
      <c r="AP1384" s="66"/>
      <c r="AQ1384" s="66"/>
      <c r="AR1384" s="68"/>
      <c r="AS1384" s="66"/>
      <c r="AT1384" s="66"/>
      <c r="AU1384" s="66"/>
      <c r="AV1384" s="69"/>
      <c r="AW1384" s="69"/>
      <c r="AX1384" s="69"/>
      <c r="AY1384" s="69"/>
      <c r="AZ1384" s="69"/>
      <c r="BA1384" s="69"/>
      <c r="BB1384" s="69"/>
      <c r="BC1384" s="69"/>
      <c r="BD1384" s="69"/>
      <c r="BE1384" s="69"/>
      <c r="BF1384" s="55">
        <v>5</v>
      </c>
      <c r="BG1384" s="70"/>
      <c r="BH1384" s="63">
        <f t="shared" si="61"/>
        <v>5</v>
      </c>
      <c r="BI1384" s="63">
        <v>5</v>
      </c>
      <c r="BJ1384" s="70"/>
      <c r="BK1384" s="203">
        <f t="shared" si="62"/>
        <v>0</v>
      </c>
      <c r="BL1384" s="63"/>
      <c r="BM1384" s="71"/>
      <c r="BN1384" s="71"/>
      <c r="BO1384" s="71"/>
    </row>
    <row r="1385" spans="2:67" ht="18.95" customHeight="1">
      <c r="B1385" s="51" t="s">
        <v>163</v>
      </c>
      <c r="C1385" s="52" t="s">
        <v>1242</v>
      </c>
      <c r="D1385" s="53" t="s">
        <v>163</v>
      </c>
      <c r="E1385" s="236" t="s">
        <v>1286</v>
      </c>
      <c r="F1385" s="66"/>
      <c r="G1385" s="66"/>
      <c r="H1385" s="66"/>
      <c r="I1385" s="66"/>
      <c r="J1385" s="66"/>
      <c r="K1385" s="66"/>
      <c r="L1385" s="66"/>
      <c r="M1385" s="66"/>
      <c r="N1385" s="67"/>
      <c r="O1385" s="66"/>
      <c r="P1385" s="66"/>
      <c r="Q1385" s="66"/>
      <c r="R1385" s="66"/>
      <c r="S1385" s="66"/>
      <c r="T1385" s="66"/>
      <c r="U1385" s="66"/>
      <c r="V1385" s="66"/>
      <c r="W1385" s="66"/>
      <c r="X1385" s="66"/>
      <c r="Y1385" s="66"/>
      <c r="Z1385" s="66"/>
      <c r="AA1385" s="66"/>
      <c r="AB1385" s="66"/>
      <c r="AC1385" s="66"/>
      <c r="AD1385" s="66"/>
      <c r="AE1385" s="66"/>
      <c r="AF1385" s="66"/>
      <c r="AG1385" s="66"/>
      <c r="AH1385" s="66"/>
      <c r="AI1385" s="66"/>
      <c r="AJ1385" s="66"/>
      <c r="AK1385" s="66"/>
      <c r="AL1385" s="66"/>
      <c r="AM1385" s="66"/>
      <c r="AN1385" s="66"/>
      <c r="AO1385" s="66"/>
      <c r="AP1385" s="66"/>
      <c r="AQ1385" s="66"/>
      <c r="AR1385" s="68"/>
      <c r="AS1385" s="66"/>
      <c r="AT1385" s="66"/>
      <c r="AU1385" s="66"/>
      <c r="AV1385" s="69"/>
      <c r="AW1385" s="69"/>
      <c r="AX1385" s="69"/>
      <c r="AY1385" s="69"/>
      <c r="AZ1385" s="69"/>
      <c r="BA1385" s="69"/>
      <c r="BB1385" s="69"/>
      <c r="BC1385" s="69"/>
      <c r="BD1385" s="69"/>
      <c r="BE1385" s="69"/>
      <c r="BF1385" s="55">
        <v>23</v>
      </c>
      <c r="BG1385" s="70"/>
      <c r="BH1385" s="63">
        <f t="shared" si="61"/>
        <v>23</v>
      </c>
      <c r="BI1385" s="63">
        <v>23</v>
      </c>
      <c r="BJ1385" s="70"/>
      <c r="BK1385" s="203">
        <f t="shared" si="62"/>
        <v>0</v>
      </c>
      <c r="BL1385" s="63"/>
      <c r="BM1385" s="71"/>
      <c r="BN1385" s="71"/>
      <c r="BO1385" s="71"/>
    </row>
    <row r="1386" spans="2:67" ht="18.95" customHeight="1">
      <c r="B1386" s="51" t="s">
        <v>165</v>
      </c>
      <c r="C1386" s="52" t="s">
        <v>1242</v>
      </c>
      <c r="D1386" s="53" t="s">
        <v>165</v>
      </c>
      <c r="E1386" s="237" t="s">
        <v>1287</v>
      </c>
      <c r="F1386" s="66"/>
      <c r="G1386" s="66"/>
      <c r="H1386" s="66"/>
      <c r="I1386" s="66"/>
      <c r="J1386" s="66"/>
      <c r="K1386" s="66"/>
      <c r="L1386" s="66"/>
      <c r="M1386" s="66"/>
      <c r="N1386" s="67"/>
      <c r="O1386" s="66"/>
      <c r="P1386" s="66"/>
      <c r="Q1386" s="66"/>
      <c r="R1386" s="66"/>
      <c r="S1386" s="66"/>
      <c r="T1386" s="66"/>
      <c r="U1386" s="66"/>
      <c r="V1386" s="66"/>
      <c r="W1386" s="66"/>
      <c r="X1386" s="66"/>
      <c r="Y1386" s="66"/>
      <c r="Z1386" s="66"/>
      <c r="AA1386" s="66"/>
      <c r="AB1386" s="66"/>
      <c r="AC1386" s="66"/>
      <c r="AD1386" s="66"/>
      <c r="AE1386" s="66"/>
      <c r="AF1386" s="66"/>
      <c r="AG1386" s="66"/>
      <c r="AH1386" s="66"/>
      <c r="AI1386" s="66"/>
      <c r="AJ1386" s="66"/>
      <c r="AK1386" s="66"/>
      <c r="AL1386" s="66"/>
      <c r="AM1386" s="66"/>
      <c r="AN1386" s="66"/>
      <c r="AO1386" s="66"/>
      <c r="AP1386" s="66"/>
      <c r="AQ1386" s="66"/>
      <c r="AR1386" s="68"/>
      <c r="AS1386" s="66"/>
      <c r="AT1386" s="66"/>
      <c r="AU1386" s="66"/>
      <c r="AV1386" s="69"/>
      <c r="AW1386" s="69"/>
      <c r="AX1386" s="69"/>
      <c r="AY1386" s="69"/>
      <c r="AZ1386" s="69"/>
      <c r="BA1386" s="69"/>
      <c r="BB1386" s="69"/>
      <c r="BC1386" s="69"/>
      <c r="BD1386" s="69"/>
      <c r="BE1386" s="69"/>
      <c r="BF1386" s="55">
        <v>5</v>
      </c>
      <c r="BG1386" s="70"/>
      <c r="BH1386" s="63">
        <v>5</v>
      </c>
      <c r="BI1386" s="63">
        <v>5</v>
      </c>
      <c r="BJ1386" s="70"/>
      <c r="BK1386" s="203">
        <f t="shared" si="62"/>
        <v>0</v>
      </c>
      <c r="BL1386" s="63"/>
      <c r="BM1386" s="71"/>
      <c r="BN1386" s="71"/>
      <c r="BO1386" s="71"/>
    </row>
    <row r="1387" spans="2:67" ht="18.95" customHeight="1">
      <c r="B1387" s="51" t="s">
        <v>167</v>
      </c>
      <c r="C1387" s="52" t="s">
        <v>1242</v>
      </c>
      <c r="D1387" s="53" t="s">
        <v>167</v>
      </c>
      <c r="E1387" s="236" t="s">
        <v>1288</v>
      </c>
      <c r="F1387" s="66"/>
      <c r="G1387" s="66"/>
      <c r="H1387" s="66"/>
      <c r="I1387" s="66"/>
      <c r="J1387" s="66"/>
      <c r="K1387" s="66"/>
      <c r="L1387" s="66"/>
      <c r="M1387" s="66"/>
      <c r="N1387" s="67"/>
      <c r="O1387" s="66"/>
      <c r="P1387" s="66"/>
      <c r="Q1387" s="66"/>
      <c r="R1387" s="66"/>
      <c r="S1387" s="66"/>
      <c r="T1387" s="66"/>
      <c r="U1387" s="66"/>
      <c r="V1387" s="66"/>
      <c r="W1387" s="66"/>
      <c r="X1387" s="66"/>
      <c r="Y1387" s="66"/>
      <c r="Z1387" s="66"/>
      <c r="AA1387" s="66"/>
      <c r="AB1387" s="66"/>
      <c r="AC1387" s="66"/>
      <c r="AD1387" s="66"/>
      <c r="AE1387" s="66"/>
      <c r="AF1387" s="66"/>
      <c r="AG1387" s="66"/>
      <c r="AH1387" s="66"/>
      <c r="AI1387" s="66"/>
      <c r="AJ1387" s="66"/>
      <c r="AK1387" s="66"/>
      <c r="AL1387" s="66"/>
      <c r="AM1387" s="66"/>
      <c r="AN1387" s="66"/>
      <c r="AO1387" s="66"/>
      <c r="AP1387" s="66"/>
      <c r="AQ1387" s="66"/>
      <c r="AR1387" s="68"/>
      <c r="AS1387" s="66"/>
      <c r="AT1387" s="66"/>
      <c r="AU1387" s="66"/>
      <c r="AV1387" s="69"/>
      <c r="AW1387" s="69"/>
      <c r="AX1387" s="69"/>
      <c r="AY1387" s="69"/>
      <c r="AZ1387" s="69"/>
      <c r="BA1387" s="69"/>
      <c r="BB1387" s="69"/>
      <c r="BC1387" s="69"/>
      <c r="BD1387" s="69"/>
      <c r="BE1387" s="69"/>
      <c r="BF1387" s="55">
        <v>5</v>
      </c>
      <c r="BG1387" s="70"/>
      <c r="BH1387" s="63">
        <f t="shared" ref="BH1387:BH1402" si="63">SUM(F1387:BG1387)</f>
        <v>5</v>
      </c>
      <c r="BI1387" s="63">
        <v>5</v>
      </c>
      <c r="BJ1387" s="70"/>
      <c r="BK1387" s="203">
        <f t="shared" si="62"/>
        <v>0</v>
      </c>
      <c r="BL1387" s="63"/>
      <c r="BM1387" s="71"/>
      <c r="BN1387" s="71"/>
      <c r="BO1387" s="71"/>
    </row>
    <row r="1388" spans="2:67" ht="18.95" customHeight="1">
      <c r="B1388" s="51" t="s">
        <v>169</v>
      </c>
      <c r="C1388" s="52" t="s">
        <v>1242</v>
      </c>
      <c r="D1388" s="53" t="s">
        <v>169</v>
      </c>
      <c r="E1388" s="238" t="s">
        <v>1289</v>
      </c>
      <c r="F1388" s="66"/>
      <c r="G1388" s="66"/>
      <c r="H1388" s="66"/>
      <c r="I1388" s="66"/>
      <c r="J1388" s="66"/>
      <c r="K1388" s="66"/>
      <c r="L1388" s="66"/>
      <c r="M1388" s="66"/>
      <c r="N1388" s="67"/>
      <c r="O1388" s="66"/>
      <c r="P1388" s="66"/>
      <c r="Q1388" s="66"/>
      <c r="R1388" s="66"/>
      <c r="S1388" s="66"/>
      <c r="T1388" s="66"/>
      <c r="U1388" s="66"/>
      <c r="V1388" s="66"/>
      <c r="W1388" s="66"/>
      <c r="X1388" s="66"/>
      <c r="Y1388" s="66"/>
      <c r="Z1388" s="66"/>
      <c r="AA1388" s="66"/>
      <c r="AB1388" s="66"/>
      <c r="AC1388" s="66"/>
      <c r="AD1388" s="66"/>
      <c r="AE1388" s="66"/>
      <c r="AF1388" s="66"/>
      <c r="AG1388" s="66"/>
      <c r="AH1388" s="66"/>
      <c r="AI1388" s="66"/>
      <c r="AJ1388" s="66"/>
      <c r="AK1388" s="66"/>
      <c r="AL1388" s="66"/>
      <c r="AM1388" s="66"/>
      <c r="AN1388" s="66"/>
      <c r="AO1388" s="66"/>
      <c r="AP1388" s="66"/>
      <c r="AQ1388" s="66"/>
      <c r="AR1388" s="68"/>
      <c r="AS1388" s="66"/>
      <c r="AT1388" s="66"/>
      <c r="AU1388" s="66"/>
      <c r="AV1388" s="69"/>
      <c r="AW1388" s="69"/>
      <c r="AX1388" s="69"/>
      <c r="AY1388" s="69"/>
      <c r="AZ1388" s="69"/>
      <c r="BA1388" s="69"/>
      <c r="BB1388" s="69"/>
      <c r="BC1388" s="69"/>
      <c r="BD1388" s="69"/>
      <c r="BE1388" s="69"/>
      <c r="BF1388" s="55">
        <v>1</v>
      </c>
      <c r="BG1388" s="70"/>
      <c r="BH1388" s="63">
        <f t="shared" si="63"/>
        <v>1</v>
      </c>
      <c r="BI1388" s="63">
        <v>1</v>
      </c>
      <c r="BJ1388" s="70"/>
      <c r="BK1388" s="203">
        <f t="shared" si="62"/>
        <v>0</v>
      </c>
      <c r="BL1388" s="63"/>
      <c r="BM1388" s="71"/>
      <c r="BN1388" s="71"/>
      <c r="BO1388" s="71"/>
    </row>
    <row r="1389" spans="2:67" ht="18.95" customHeight="1">
      <c r="B1389" s="51" t="s">
        <v>171</v>
      </c>
      <c r="C1389" s="52" t="s">
        <v>1242</v>
      </c>
      <c r="D1389" s="53" t="s">
        <v>171</v>
      </c>
      <c r="E1389" s="239" t="s">
        <v>1290</v>
      </c>
      <c r="F1389" s="66"/>
      <c r="G1389" s="66"/>
      <c r="H1389" s="66"/>
      <c r="I1389" s="66"/>
      <c r="J1389" s="66"/>
      <c r="K1389" s="66"/>
      <c r="L1389" s="66"/>
      <c r="M1389" s="66"/>
      <c r="N1389" s="67"/>
      <c r="O1389" s="66"/>
      <c r="P1389" s="66"/>
      <c r="Q1389" s="66"/>
      <c r="R1389" s="66"/>
      <c r="S1389" s="66"/>
      <c r="T1389" s="66"/>
      <c r="U1389" s="66"/>
      <c r="V1389" s="66"/>
      <c r="W1389" s="66"/>
      <c r="X1389" s="66"/>
      <c r="Y1389" s="66"/>
      <c r="Z1389" s="66"/>
      <c r="AA1389" s="66"/>
      <c r="AB1389" s="66"/>
      <c r="AC1389" s="66"/>
      <c r="AD1389" s="66"/>
      <c r="AE1389" s="66"/>
      <c r="AF1389" s="66"/>
      <c r="AG1389" s="66"/>
      <c r="AH1389" s="66"/>
      <c r="AI1389" s="66"/>
      <c r="AJ1389" s="66"/>
      <c r="AK1389" s="66"/>
      <c r="AL1389" s="66"/>
      <c r="AM1389" s="66"/>
      <c r="AN1389" s="66"/>
      <c r="AO1389" s="66"/>
      <c r="AP1389" s="66"/>
      <c r="AQ1389" s="66"/>
      <c r="AR1389" s="68"/>
      <c r="AS1389" s="66"/>
      <c r="AT1389" s="66"/>
      <c r="AU1389" s="66"/>
      <c r="AV1389" s="69"/>
      <c r="AW1389" s="69"/>
      <c r="AX1389" s="69"/>
      <c r="AY1389" s="69"/>
      <c r="AZ1389" s="69"/>
      <c r="BA1389" s="69"/>
      <c r="BB1389" s="69"/>
      <c r="BC1389" s="69"/>
      <c r="BD1389" s="69"/>
      <c r="BE1389" s="69"/>
      <c r="BF1389" s="55">
        <v>4</v>
      </c>
      <c r="BG1389" s="70"/>
      <c r="BH1389" s="63">
        <f t="shared" si="63"/>
        <v>4</v>
      </c>
      <c r="BI1389" s="63">
        <v>4</v>
      </c>
      <c r="BJ1389" s="70"/>
      <c r="BK1389" s="203">
        <f t="shared" si="62"/>
        <v>0</v>
      </c>
      <c r="BL1389" s="63"/>
      <c r="BM1389" s="71"/>
      <c r="BN1389" s="71"/>
      <c r="BO1389" s="71"/>
    </row>
    <row r="1390" spans="2:67" ht="18.95" customHeight="1">
      <c r="B1390" s="51" t="s">
        <v>174</v>
      </c>
      <c r="C1390" s="52" t="s">
        <v>1242</v>
      </c>
      <c r="D1390" s="53" t="s">
        <v>174</v>
      </c>
      <c r="E1390" s="240" t="s">
        <v>1291</v>
      </c>
      <c r="F1390" s="66"/>
      <c r="G1390" s="66"/>
      <c r="H1390" s="66"/>
      <c r="I1390" s="66"/>
      <c r="J1390" s="66"/>
      <c r="K1390" s="66"/>
      <c r="L1390" s="66"/>
      <c r="M1390" s="66"/>
      <c r="N1390" s="67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  <c r="AD1390" s="66"/>
      <c r="AE1390" s="66"/>
      <c r="AF1390" s="66"/>
      <c r="AG1390" s="66"/>
      <c r="AH1390" s="66"/>
      <c r="AI1390" s="66"/>
      <c r="AJ1390" s="66"/>
      <c r="AK1390" s="66"/>
      <c r="AL1390" s="66"/>
      <c r="AM1390" s="66"/>
      <c r="AN1390" s="66"/>
      <c r="AO1390" s="66"/>
      <c r="AP1390" s="66"/>
      <c r="AQ1390" s="66"/>
      <c r="AR1390" s="68"/>
      <c r="AS1390" s="66"/>
      <c r="AT1390" s="66"/>
      <c r="AU1390" s="66"/>
      <c r="AV1390" s="69"/>
      <c r="AW1390" s="69"/>
      <c r="AX1390" s="69"/>
      <c r="AY1390" s="69"/>
      <c r="AZ1390" s="69"/>
      <c r="BA1390" s="69"/>
      <c r="BB1390" s="69"/>
      <c r="BC1390" s="69"/>
      <c r="BD1390" s="69"/>
      <c r="BE1390" s="69"/>
      <c r="BF1390" s="55">
        <v>3</v>
      </c>
      <c r="BG1390" s="70"/>
      <c r="BH1390" s="63">
        <f t="shared" si="63"/>
        <v>3</v>
      </c>
      <c r="BI1390" s="63">
        <v>3</v>
      </c>
      <c r="BJ1390" s="70"/>
      <c r="BK1390" s="203">
        <f t="shared" si="62"/>
        <v>0</v>
      </c>
      <c r="BL1390" s="63"/>
      <c r="BM1390" s="71"/>
      <c r="BN1390" s="71"/>
      <c r="BO1390" s="71"/>
    </row>
    <row r="1391" spans="2:67" ht="18.75" customHeight="1">
      <c r="B1391" s="51" t="s">
        <v>176</v>
      </c>
      <c r="C1391" s="52" t="s">
        <v>1242</v>
      </c>
      <c r="D1391" s="53" t="s">
        <v>176</v>
      </c>
      <c r="E1391" s="233" t="s">
        <v>1292</v>
      </c>
      <c r="F1391" s="66"/>
      <c r="G1391" s="66"/>
      <c r="H1391" s="66"/>
      <c r="I1391" s="66"/>
      <c r="J1391" s="66"/>
      <c r="K1391" s="66"/>
      <c r="L1391" s="66"/>
      <c r="M1391" s="66"/>
      <c r="N1391" s="67"/>
      <c r="O1391" s="66"/>
      <c r="P1391" s="66"/>
      <c r="Q1391" s="66"/>
      <c r="R1391" s="66"/>
      <c r="S1391" s="66"/>
      <c r="T1391" s="66"/>
      <c r="U1391" s="66"/>
      <c r="V1391" s="66"/>
      <c r="W1391" s="66"/>
      <c r="X1391" s="66"/>
      <c r="Y1391" s="66"/>
      <c r="Z1391" s="66"/>
      <c r="AA1391" s="66"/>
      <c r="AB1391" s="66"/>
      <c r="AC1391" s="66"/>
      <c r="AD1391" s="66"/>
      <c r="AE1391" s="66"/>
      <c r="AF1391" s="66"/>
      <c r="AG1391" s="66"/>
      <c r="AH1391" s="66"/>
      <c r="AI1391" s="66"/>
      <c r="AJ1391" s="66"/>
      <c r="AK1391" s="66"/>
      <c r="AL1391" s="66"/>
      <c r="AM1391" s="66"/>
      <c r="AN1391" s="66"/>
      <c r="AO1391" s="66"/>
      <c r="AP1391" s="66"/>
      <c r="AQ1391" s="66"/>
      <c r="AR1391" s="68"/>
      <c r="AS1391" s="66"/>
      <c r="AT1391" s="66"/>
      <c r="AU1391" s="66"/>
      <c r="AV1391" s="69"/>
      <c r="AW1391" s="69"/>
      <c r="AX1391" s="69"/>
      <c r="AY1391" s="69"/>
      <c r="AZ1391" s="69"/>
      <c r="BA1391" s="69"/>
      <c r="BB1391" s="69"/>
      <c r="BC1391" s="69"/>
      <c r="BD1391" s="69"/>
      <c r="BE1391" s="69"/>
      <c r="BF1391" s="55">
        <v>4</v>
      </c>
      <c r="BG1391" s="70"/>
      <c r="BH1391" s="63">
        <f t="shared" si="63"/>
        <v>4</v>
      </c>
      <c r="BI1391" s="63">
        <v>4</v>
      </c>
      <c r="BJ1391" s="70"/>
      <c r="BK1391" s="203">
        <f t="shared" si="62"/>
        <v>0</v>
      </c>
      <c r="BL1391" s="63"/>
      <c r="BM1391" s="71"/>
      <c r="BN1391" s="71"/>
      <c r="BO1391" s="71"/>
    </row>
    <row r="1392" spans="2:67" ht="18.95" customHeight="1">
      <c r="B1392" s="51" t="s">
        <v>178</v>
      </c>
      <c r="C1392" s="52" t="s">
        <v>1242</v>
      </c>
      <c r="D1392" s="53" t="s">
        <v>178</v>
      </c>
      <c r="E1392" s="236" t="s">
        <v>1293</v>
      </c>
      <c r="F1392" s="66"/>
      <c r="G1392" s="66"/>
      <c r="H1392" s="66"/>
      <c r="I1392" s="66"/>
      <c r="J1392" s="66"/>
      <c r="K1392" s="66"/>
      <c r="L1392" s="66"/>
      <c r="M1392" s="66"/>
      <c r="N1392" s="67"/>
      <c r="O1392" s="66"/>
      <c r="P1392" s="66"/>
      <c r="Q1392" s="66"/>
      <c r="R1392" s="66"/>
      <c r="S1392" s="66"/>
      <c r="T1392" s="66"/>
      <c r="U1392" s="66"/>
      <c r="V1392" s="66"/>
      <c r="W1392" s="66"/>
      <c r="X1392" s="66"/>
      <c r="Y1392" s="66"/>
      <c r="Z1392" s="66"/>
      <c r="AA1392" s="66"/>
      <c r="AB1392" s="66"/>
      <c r="AC1392" s="66"/>
      <c r="AD1392" s="66"/>
      <c r="AE1392" s="66"/>
      <c r="AF1392" s="66"/>
      <c r="AG1392" s="66"/>
      <c r="AH1392" s="66"/>
      <c r="AI1392" s="66"/>
      <c r="AJ1392" s="66"/>
      <c r="AK1392" s="66"/>
      <c r="AL1392" s="66"/>
      <c r="AM1392" s="66"/>
      <c r="AN1392" s="66"/>
      <c r="AO1392" s="66"/>
      <c r="AP1392" s="66"/>
      <c r="AQ1392" s="66"/>
      <c r="AR1392" s="68"/>
      <c r="AS1392" s="66"/>
      <c r="AT1392" s="66"/>
      <c r="AU1392" s="66"/>
      <c r="AV1392" s="69"/>
      <c r="AW1392" s="69"/>
      <c r="AX1392" s="69"/>
      <c r="AY1392" s="69"/>
      <c r="AZ1392" s="69"/>
      <c r="BA1392" s="69"/>
      <c r="BB1392" s="69"/>
      <c r="BC1392" s="69"/>
      <c r="BD1392" s="69"/>
      <c r="BE1392" s="69"/>
      <c r="BF1392" s="55">
        <v>25</v>
      </c>
      <c r="BG1392" s="70"/>
      <c r="BH1392" s="63">
        <f t="shared" si="63"/>
        <v>25</v>
      </c>
      <c r="BI1392" s="63">
        <v>25</v>
      </c>
      <c r="BJ1392" s="70"/>
      <c r="BK1392" s="203">
        <f t="shared" si="62"/>
        <v>0</v>
      </c>
      <c r="BL1392" s="63"/>
      <c r="BM1392" s="71"/>
      <c r="BN1392" s="71"/>
      <c r="BO1392" s="71"/>
    </row>
    <row r="1393" spans="2:67" ht="18.95" customHeight="1">
      <c r="B1393" s="51" t="s">
        <v>180</v>
      </c>
      <c r="C1393" s="52" t="s">
        <v>1242</v>
      </c>
      <c r="D1393" s="51" t="s">
        <v>180</v>
      </c>
      <c r="E1393" s="241" t="s">
        <v>1294</v>
      </c>
      <c r="F1393" s="66"/>
      <c r="G1393" s="66"/>
      <c r="H1393" s="66"/>
      <c r="I1393" s="66">
        <v>1</v>
      </c>
      <c r="J1393" s="66"/>
      <c r="K1393" s="66"/>
      <c r="L1393" s="66">
        <v>1</v>
      </c>
      <c r="M1393" s="66">
        <v>1</v>
      </c>
      <c r="N1393" s="67"/>
      <c r="O1393" s="66"/>
      <c r="P1393" s="66"/>
      <c r="Q1393" s="66"/>
      <c r="R1393" s="66"/>
      <c r="S1393" s="66"/>
      <c r="T1393" s="66"/>
      <c r="U1393" s="66"/>
      <c r="V1393" s="66"/>
      <c r="W1393" s="66"/>
      <c r="X1393" s="66"/>
      <c r="Y1393" s="66"/>
      <c r="Z1393" s="66"/>
      <c r="AA1393" s="66"/>
      <c r="AB1393" s="66">
        <v>1</v>
      </c>
      <c r="AC1393" s="66"/>
      <c r="AD1393" s="66"/>
      <c r="AE1393" s="66"/>
      <c r="AF1393" s="66"/>
      <c r="AG1393" s="66"/>
      <c r="AH1393" s="66"/>
      <c r="AI1393" s="66"/>
      <c r="AJ1393" s="66"/>
      <c r="AK1393" s="66"/>
      <c r="AL1393" s="66"/>
      <c r="AM1393" s="66"/>
      <c r="AN1393" s="66"/>
      <c r="AO1393" s="66"/>
      <c r="AP1393" s="66"/>
      <c r="AQ1393" s="66"/>
      <c r="AR1393" s="68"/>
      <c r="AS1393" s="66"/>
      <c r="AT1393" s="66"/>
      <c r="AU1393" s="66"/>
      <c r="AV1393" s="69"/>
      <c r="AW1393" s="69"/>
      <c r="AX1393" s="69"/>
      <c r="AY1393" s="69"/>
      <c r="AZ1393" s="69"/>
      <c r="BA1393" s="69"/>
      <c r="BB1393" s="69"/>
      <c r="BC1393" s="69"/>
      <c r="BD1393" s="69"/>
      <c r="BE1393" s="69"/>
      <c r="BF1393" s="55"/>
      <c r="BG1393" s="70"/>
      <c r="BH1393" s="63">
        <f t="shared" si="63"/>
        <v>4</v>
      </c>
      <c r="BI1393" s="63"/>
      <c r="BJ1393" s="70"/>
      <c r="BK1393" s="203">
        <f t="shared" si="62"/>
        <v>4</v>
      </c>
      <c r="BL1393" s="63"/>
      <c r="BM1393" s="71"/>
      <c r="BN1393" s="71"/>
      <c r="BO1393" s="71"/>
    </row>
    <row r="1394" spans="2:67" ht="18.75" customHeight="1">
      <c r="B1394" s="51" t="s">
        <v>183</v>
      </c>
      <c r="C1394" s="52" t="s">
        <v>1242</v>
      </c>
      <c r="D1394" s="51" t="s">
        <v>183</v>
      </c>
      <c r="E1394" s="192" t="s">
        <v>1295</v>
      </c>
      <c r="F1394" s="66"/>
      <c r="G1394" s="66"/>
      <c r="H1394" s="66"/>
      <c r="I1394" s="66"/>
      <c r="J1394" s="66"/>
      <c r="K1394" s="66"/>
      <c r="L1394" s="66"/>
      <c r="M1394" s="66"/>
      <c r="N1394" s="67"/>
      <c r="O1394" s="66"/>
      <c r="P1394" s="66"/>
      <c r="Q1394" s="66"/>
      <c r="R1394" s="66"/>
      <c r="S1394" s="66"/>
      <c r="T1394" s="66"/>
      <c r="U1394" s="66"/>
      <c r="V1394" s="66"/>
      <c r="W1394" s="66"/>
      <c r="X1394" s="66"/>
      <c r="Y1394" s="66"/>
      <c r="Z1394" s="66"/>
      <c r="AA1394" s="66"/>
      <c r="AB1394" s="66"/>
      <c r="AC1394" s="66"/>
      <c r="AD1394" s="66"/>
      <c r="AE1394" s="66"/>
      <c r="AF1394" s="66"/>
      <c r="AG1394" s="66"/>
      <c r="AH1394" s="66"/>
      <c r="AI1394" s="66"/>
      <c r="AJ1394" s="66"/>
      <c r="AK1394" s="66"/>
      <c r="AL1394" s="66"/>
      <c r="AM1394" s="66"/>
      <c r="AN1394" s="66"/>
      <c r="AO1394" s="66"/>
      <c r="AP1394" s="66"/>
      <c r="AQ1394" s="66"/>
      <c r="AR1394" s="68"/>
      <c r="AS1394" s="66"/>
      <c r="AT1394" s="66"/>
      <c r="AU1394" s="66"/>
      <c r="AV1394" s="69"/>
      <c r="AW1394" s="69"/>
      <c r="AX1394" s="69"/>
      <c r="AY1394" s="69"/>
      <c r="AZ1394" s="69"/>
      <c r="BA1394" s="69">
        <v>1</v>
      </c>
      <c r="BB1394" s="69"/>
      <c r="BC1394" s="69"/>
      <c r="BD1394" s="69"/>
      <c r="BE1394" s="69"/>
      <c r="BF1394" s="55"/>
      <c r="BG1394" s="70"/>
      <c r="BH1394" s="63">
        <f t="shared" si="63"/>
        <v>1</v>
      </c>
      <c r="BI1394" s="63">
        <v>1</v>
      </c>
      <c r="BJ1394" s="70"/>
      <c r="BK1394" s="203">
        <f t="shared" si="62"/>
        <v>0</v>
      </c>
      <c r="BL1394" s="63"/>
      <c r="BM1394" s="71"/>
      <c r="BN1394" s="71"/>
      <c r="BO1394" s="71"/>
    </row>
    <row r="1395" spans="2:67" ht="18.95" customHeight="1">
      <c r="B1395" s="51" t="s">
        <v>185</v>
      </c>
      <c r="C1395" s="52" t="s">
        <v>1242</v>
      </c>
      <c r="D1395" s="51"/>
      <c r="E1395" s="242"/>
      <c r="F1395" s="66"/>
      <c r="G1395" s="66"/>
      <c r="H1395" s="66"/>
      <c r="I1395" s="66"/>
      <c r="J1395" s="66"/>
      <c r="K1395" s="66"/>
      <c r="L1395" s="66"/>
      <c r="M1395" s="66"/>
      <c r="N1395" s="67"/>
      <c r="O1395" s="66"/>
      <c r="P1395" s="66"/>
      <c r="Q1395" s="66"/>
      <c r="R1395" s="66"/>
      <c r="S1395" s="66"/>
      <c r="T1395" s="66"/>
      <c r="U1395" s="66"/>
      <c r="V1395" s="66"/>
      <c r="W1395" s="66"/>
      <c r="X1395" s="66"/>
      <c r="Y1395" s="66"/>
      <c r="Z1395" s="66"/>
      <c r="AA1395" s="66"/>
      <c r="AB1395" s="66"/>
      <c r="AC1395" s="66"/>
      <c r="AD1395" s="66"/>
      <c r="AE1395" s="66"/>
      <c r="AF1395" s="66"/>
      <c r="AG1395" s="66"/>
      <c r="AH1395" s="66"/>
      <c r="AI1395" s="66"/>
      <c r="AJ1395" s="66"/>
      <c r="AK1395" s="66"/>
      <c r="AL1395" s="66"/>
      <c r="AM1395" s="66"/>
      <c r="AN1395" s="66"/>
      <c r="AO1395" s="66"/>
      <c r="AP1395" s="66"/>
      <c r="AQ1395" s="66"/>
      <c r="AR1395" s="68"/>
      <c r="AS1395" s="66"/>
      <c r="AT1395" s="66"/>
      <c r="AU1395" s="66"/>
      <c r="AV1395" s="69"/>
      <c r="AW1395" s="69"/>
      <c r="AX1395" s="69"/>
      <c r="AY1395" s="69"/>
      <c r="AZ1395" s="69"/>
      <c r="BA1395" s="69"/>
      <c r="BB1395" s="69"/>
      <c r="BC1395" s="69"/>
      <c r="BD1395" s="69"/>
      <c r="BE1395" s="69"/>
      <c r="BF1395" s="55"/>
      <c r="BG1395" s="70"/>
      <c r="BH1395" s="63">
        <f t="shared" si="63"/>
        <v>0</v>
      </c>
      <c r="BI1395" s="63"/>
      <c r="BJ1395" s="70"/>
      <c r="BK1395" s="203">
        <f t="shared" si="62"/>
        <v>0</v>
      </c>
      <c r="BL1395" s="63"/>
      <c r="BM1395" s="71"/>
      <c r="BN1395" s="71"/>
      <c r="BO1395" s="71"/>
    </row>
    <row r="1396" spans="2:67" ht="18.95" customHeight="1">
      <c r="B1396" s="51" t="s">
        <v>187</v>
      </c>
      <c r="C1396" s="52" t="s">
        <v>1242</v>
      </c>
      <c r="D1396" s="51"/>
      <c r="E1396" s="242"/>
      <c r="F1396" s="66"/>
      <c r="G1396" s="66"/>
      <c r="H1396" s="66"/>
      <c r="I1396" s="66"/>
      <c r="J1396" s="66"/>
      <c r="K1396" s="66"/>
      <c r="L1396" s="66"/>
      <c r="M1396" s="66"/>
      <c r="N1396" s="67"/>
      <c r="O1396" s="66"/>
      <c r="P1396" s="66"/>
      <c r="Q1396" s="66"/>
      <c r="R1396" s="66"/>
      <c r="S1396" s="66"/>
      <c r="T1396" s="66"/>
      <c r="U1396" s="66"/>
      <c r="V1396" s="66"/>
      <c r="W1396" s="66"/>
      <c r="X1396" s="66"/>
      <c r="Y1396" s="66"/>
      <c r="Z1396" s="66"/>
      <c r="AA1396" s="66"/>
      <c r="AB1396" s="66"/>
      <c r="AC1396" s="66"/>
      <c r="AD1396" s="66"/>
      <c r="AE1396" s="66"/>
      <c r="AF1396" s="66"/>
      <c r="AG1396" s="66"/>
      <c r="AH1396" s="66"/>
      <c r="AI1396" s="66"/>
      <c r="AJ1396" s="66"/>
      <c r="AK1396" s="66"/>
      <c r="AL1396" s="66"/>
      <c r="AM1396" s="66"/>
      <c r="AN1396" s="66"/>
      <c r="AO1396" s="66"/>
      <c r="AP1396" s="66"/>
      <c r="AQ1396" s="66"/>
      <c r="AR1396" s="68"/>
      <c r="AS1396" s="66"/>
      <c r="AT1396" s="66"/>
      <c r="AU1396" s="66"/>
      <c r="AV1396" s="69"/>
      <c r="AW1396" s="69"/>
      <c r="AX1396" s="69"/>
      <c r="AY1396" s="69"/>
      <c r="AZ1396" s="69"/>
      <c r="BA1396" s="69"/>
      <c r="BB1396" s="69"/>
      <c r="BC1396" s="69"/>
      <c r="BD1396" s="69"/>
      <c r="BE1396" s="69"/>
      <c r="BF1396" s="55"/>
      <c r="BG1396" s="70"/>
      <c r="BH1396" s="63">
        <f t="shared" si="63"/>
        <v>0</v>
      </c>
      <c r="BI1396" s="63"/>
      <c r="BJ1396" s="70"/>
      <c r="BK1396" s="203">
        <f t="shared" si="62"/>
        <v>0</v>
      </c>
      <c r="BL1396" s="63"/>
      <c r="BM1396" s="71"/>
      <c r="BN1396" s="71"/>
      <c r="BO1396" s="71"/>
    </row>
    <row r="1397" spans="2:67" ht="18.95" customHeight="1">
      <c r="B1397" s="51" t="s">
        <v>189</v>
      </c>
      <c r="C1397" s="52" t="s">
        <v>1242</v>
      </c>
      <c r="D1397" s="51"/>
      <c r="E1397" s="242"/>
      <c r="F1397" s="66"/>
      <c r="G1397" s="66"/>
      <c r="H1397" s="66"/>
      <c r="I1397" s="66"/>
      <c r="J1397" s="66"/>
      <c r="K1397" s="66"/>
      <c r="L1397" s="66"/>
      <c r="M1397" s="66"/>
      <c r="N1397" s="67"/>
      <c r="O1397" s="66"/>
      <c r="P1397" s="66"/>
      <c r="Q1397" s="66"/>
      <c r="R1397" s="66"/>
      <c r="S1397" s="66"/>
      <c r="T1397" s="66"/>
      <c r="U1397" s="66"/>
      <c r="V1397" s="66"/>
      <c r="W1397" s="66"/>
      <c r="X1397" s="66"/>
      <c r="Y1397" s="66"/>
      <c r="Z1397" s="66"/>
      <c r="AA1397" s="66"/>
      <c r="AB1397" s="66"/>
      <c r="AC1397" s="66"/>
      <c r="AD1397" s="66"/>
      <c r="AE1397" s="66"/>
      <c r="AF1397" s="66"/>
      <c r="AG1397" s="66"/>
      <c r="AH1397" s="66"/>
      <c r="AI1397" s="66"/>
      <c r="AJ1397" s="66"/>
      <c r="AK1397" s="66"/>
      <c r="AL1397" s="75"/>
      <c r="AM1397" s="66"/>
      <c r="AN1397" s="66"/>
      <c r="AO1397" s="66"/>
      <c r="AP1397" s="66"/>
      <c r="AQ1397" s="66"/>
      <c r="AR1397" s="68"/>
      <c r="AS1397" s="66"/>
      <c r="AT1397" s="66"/>
      <c r="AU1397" s="66"/>
      <c r="AV1397" s="69"/>
      <c r="AW1397" s="69"/>
      <c r="AX1397" s="69"/>
      <c r="AY1397" s="69"/>
      <c r="AZ1397" s="69"/>
      <c r="BA1397" s="69"/>
      <c r="BB1397" s="69"/>
      <c r="BC1397" s="69"/>
      <c r="BD1397" s="69"/>
      <c r="BE1397" s="69"/>
      <c r="BF1397" s="55"/>
      <c r="BG1397" s="70"/>
      <c r="BH1397" s="63">
        <f t="shared" si="63"/>
        <v>0</v>
      </c>
      <c r="BI1397" s="63"/>
      <c r="BJ1397" s="70"/>
      <c r="BK1397" s="203">
        <f t="shared" si="62"/>
        <v>0</v>
      </c>
      <c r="BL1397" s="63"/>
      <c r="BM1397" s="71"/>
      <c r="BN1397" s="71"/>
      <c r="BO1397" s="71"/>
    </row>
    <row r="1398" spans="2:67" ht="18.95" customHeight="1">
      <c r="B1398" s="51" t="s">
        <v>192</v>
      </c>
      <c r="C1398" s="52" t="s">
        <v>1242</v>
      </c>
      <c r="D1398" s="51"/>
      <c r="E1398" s="242"/>
      <c r="F1398" s="66"/>
      <c r="G1398" s="66"/>
      <c r="H1398" s="66"/>
      <c r="I1398" s="66"/>
      <c r="J1398" s="66"/>
      <c r="K1398" s="66"/>
      <c r="L1398" s="66"/>
      <c r="M1398" s="66"/>
      <c r="N1398" s="67"/>
      <c r="O1398" s="66"/>
      <c r="P1398" s="66"/>
      <c r="Q1398" s="66"/>
      <c r="R1398" s="66"/>
      <c r="S1398" s="66"/>
      <c r="T1398" s="66"/>
      <c r="U1398" s="66"/>
      <c r="V1398" s="66"/>
      <c r="W1398" s="66"/>
      <c r="X1398" s="66"/>
      <c r="Y1398" s="66"/>
      <c r="Z1398" s="66"/>
      <c r="AA1398" s="66"/>
      <c r="AB1398" s="66"/>
      <c r="AC1398" s="66"/>
      <c r="AD1398" s="66"/>
      <c r="AE1398" s="66"/>
      <c r="AF1398" s="66"/>
      <c r="AG1398" s="66"/>
      <c r="AH1398" s="66"/>
      <c r="AI1398" s="66"/>
      <c r="AJ1398" s="66"/>
      <c r="AK1398" s="66"/>
      <c r="AL1398" s="75"/>
      <c r="AM1398" s="66"/>
      <c r="AN1398" s="66"/>
      <c r="AO1398" s="66"/>
      <c r="AP1398" s="66"/>
      <c r="AQ1398" s="66"/>
      <c r="AR1398" s="68"/>
      <c r="AS1398" s="66"/>
      <c r="AT1398" s="66"/>
      <c r="AU1398" s="66"/>
      <c r="AV1398" s="69"/>
      <c r="AW1398" s="69"/>
      <c r="AX1398" s="69"/>
      <c r="AY1398" s="69"/>
      <c r="AZ1398" s="69"/>
      <c r="BA1398" s="69"/>
      <c r="BB1398" s="69"/>
      <c r="BC1398" s="69"/>
      <c r="BD1398" s="69"/>
      <c r="BE1398" s="69"/>
      <c r="BF1398" s="55"/>
      <c r="BG1398" s="70"/>
      <c r="BH1398" s="63">
        <f t="shared" si="63"/>
        <v>0</v>
      </c>
      <c r="BI1398" s="63"/>
      <c r="BJ1398" s="70"/>
      <c r="BK1398" s="203">
        <f t="shared" si="62"/>
        <v>0</v>
      </c>
      <c r="BL1398" s="63"/>
      <c r="BM1398" s="71"/>
      <c r="BN1398" s="71"/>
      <c r="BO1398" s="71"/>
    </row>
    <row r="1399" spans="2:67" ht="18.95" customHeight="1">
      <c r="B1399" s="51" t="s">
        <v>194</v>
      </c>
      <c r="C1399" s="52" t="s">
        <v>1242</v>
      </c>
      <c r="D1399" s="51"/>
      <c r="E1399" s="242"/>
      <c r="F1399" s="66"/>
      <c r="G1399" s="66"/>
      <c r="H1399" s="66"/>
      <c r="I1399" s="66"/>
      <c r="J1399" s="66"/>
      <c r="K1399" s="66"/>
      <c r="L1399" s="66"/>
      <c r="M1399" s="66"/>
      <c r="N1399" s="67"/>
      <c r="O1399" s="66"/>
      <c r="P1399" s="66"/>
      <c r="Q1399" s="66"/>
      <c r="R1399" s="66"/>
      <c r="S1399" s="66"/>
      <c r="T1399" s="66"/>
      <c r="U1399" s="66"/>
      <c r="V1399" s="66"/>
      <c r="W1399" s="66"/>
      <c r="X1399" s="66"/>
      <c r="Y1399" s="66"/>
      <c r="Z1399" s="66"/>
      <c r="AA1399" s="66"/>
      <c r="AB1399" s="66"/>
      <c r="AC1399" s="66"/>
      <c r="AD1399" s="66"/>
      <c r="AE1399" s="66"/>
      <c r="AF1399" s="66"/>
      <c r="AG1399" s="66"/>
      <c r="AH1399" s="66"/>
      <c r="AI1399" s="66"/>
      <c r="AJ1399" s="66"/>
      <c r="AK1399" s="66"/>
      <c r="AL1399" s="66"/>
      <c r="AM1399" s="66"/>
      <c r="AN1399" s="66"/>
      <c r="AO1399" s="66"/>
      <c r="AP1399" s="66"/>
      <c r="AQ1399" s="66"/>
      <c r="AR1399" s="68"/>
      <c r="AS1399" s="66"/>
      <c r="AT1399" s="66"/>
      <c r="AU1399" s="66"/>
      <c r="AV1399" s="69"/>
      <c r="AW1399" s="69"/>
      <c r="AX1399" s="69"/>
      <c r="AY1399" s="69"/>
      <c r="AZ1399" s="69"/>
      <c r="BA1399" s="69"/>
      <c r="BB1399" s="69"/>
      <c r="BC1399" s="69"/>
      <c r="BD1399" s="69"/>
      <c r="BE1399" s="69"/>
      <c r="BF1399" s="55"/>
      <c r="BG1399" s="70"/>
      <c r="BH1399" s="63">
        <f t="shared" si="63"/>
        <v>0</v>
      </c>
      <c r="BI1399" s="63"/>
      <c r="BJ1399" s="70"/>
      <c r="BK1399" s="203">
        <f t="shared" si="62"/>
        <v>0</v>
      </c>
      <c r="BL1399" s="63"/>
      <c r="BM1399" s="71"/>
      <c r="BN1399" s="65"/>
      <c r="BO1399" s="65"/>
    </row>
    <row r="1400" spans="2:67" ht="18.95" customHeight="1">
      <c r="B1400" s="51" t="s">
        <v>196</v>
      </c>
      <c r="C1400" s="52" t="s">
        <v>1242</v>
      </c>
      <c r="D1400" s="51"/>
      <c r="E1400" s="242"/>
      <c r="F1400" s="55"/>
      <c r="G1400" s="66"/>
      <c r="H1400" s="66"/>
      <c r="I1400" s="66"/>
      <c r="J1400" s="66"/>
      <c r="K1400" s="66"/>
      <c r="L1400" s="66"/>
      <c r="M1400" s="66"/>
      <c r="N1400" s="67"/>
      <c r="O1400" s="66"/>
      <c r="P1400" s="66"/>
      <c r="Q1400" s="66"/>
      <c r="R1400" s="66"/>
      <c r="S1400" s="66"/>
      <c r="T1400" s="66"/>
      <c r="U1400" s="66"/>
      <c r="V1400" s="66"/>
      <c r="W1400" s="66"/>
      <c r="X1400" s="66"/>
      <c r="Y1400" s="66"/>
      <c r="Z1400" s="66"/>
      <c r="AA1400" s="66"/>
      <c r="AB1400" s="66"/>
      <c r="AC1400" s="66"/>
      <c r="AD1400" s="66"/>
      <c r="AE1400" s="66"/>
      <c r="AF1400" s="66"/>
      <c r="AG1400" s="66"/>
      <c r="AH1400" s="66"/>
      <c r="AI1400" s="66"/>
      <c r="AJ1400" s="66"/>
      <c r="AK1400" s="66"/>
      <c r="AL1400" s="75"/>
      <c r="AM1400" s="66"/>
      <c r="AN1400" s="66"/>
      <c r="AO1400" s="66"/>
      <c r="AP1400" s="66"/>
      <c r="AQ1400" s="66"/>
      <c r="AR1400" s="68"/>
      <c r="AS1400" s="66"/>
      <c r="AT1400" s="66"/>
      <c r="AU1400" s="66"/>
      <c r="AV1400" s="69"/>
      <c r="AW1400" s="69"/>
      <c r="AX1400" s="69"/>
      <c r="AY1400" s="69"/>
      <c r="AZ1400" s="69"/>
      <c r="BA1400" s="69"/>
      <c r="BB1400" s="69"/>
      <c r="BC1400" s="69"/>
      <c r="BD1400" s="69"/>
      <c r="BE1400" s="69"/>
      <c r="BF1400" s="55"/>
      <c r="BG1400" s="70"/>
      <c r="BH1400" s="63">
        <f t="shared" si="63"/>
        <v>0</v>
      </c>
      <c r="BI1400" s="63"/>
      <c r="BJ1400" s="70"/>
      <c r="BK1400" s="203">
        <f t="shared" si="62"/>
        <v>0</v>
      </c>
      <c r="BL1400" s="63"/>
      <c r="BM1400" s="71"/>
      <c r="BN1400" s="65"/>
      <c r="BO1400" s="65"/>
    </row>
    <row r="1401" spans="2:67" ht="18.95" customHeight="1">
      <c r="B1401" s="51" t="s">
        <v>198</v>
      </c>
      <c r="C1401" s="52" t="s">
        <v>1242</v>
      </c>
      <c r="D1401" s="51"/>
      <c r="E1401" s="242"/>
      <c r="F1401" s="66"/>
      <c r="G1401" s="66"/>
      <c r="H1401" s="66"/>
      <c r="I1401" s="66"/>
      <c r="J1401" s="66"/>
      <c r="K1401" s="66"/>
      <c r="L1401" s="66"/>
      <c r="M1401" s="66"/>
      <c r="N1401" s="67"/>
      <c r="O1401" s="66"/>
      <c r="P1401" s="66"/>
      <c r="Q1401" s="66"/>
      <c r="R1401" s="66"/>
      <c r="S1401" s="66"/>
      <c r="T1401" s="66"/>
      <c r="U1401" s="66"/>
      <c r="V1401" s="66"/>
      <c r="W1401" s="66"/>
      <c r="X1401" s="66"/>
      <c r="Y1401" s="66"/>
      <c r="Z1401" s="66"/>
      <c r="AA1401" s="66"/>
      <c r="AB1401" s="66"/>
      <c r="AC1401" s="66"/>
      <c r="AD1401" s="66"/>
      <c r="AE1401" s="66"/>
      <c r="AF1401" s="66"/>
      <c r="AG1401" s="66"/>
      <c r="AH1401" s="66"/>
      <c r="AI1401" s="66"/>
      <c r="AJ1401" s="66"/>
      <c r="AK1401" s="66"/>
      <c r="AL1401" s="66"/>
      <c r="AM1401" s="66"/>
      <c r="AN1401" s="66"/>
      <c r="AO1401" s="66"/>
      <c r="AP1401" s="66"/>
      <c r="AQ1401" s="66"/>
      <c r="AR1401" s="68"/>
      <c r="AS1401" s="66"/>
      <c r="AT1401" s="66"/>
      <c r="AU1401" s="66"/>
      <c r="AV1401" s="69"/>
      <c r="AW1401" s="69"/>
      <c r="AX1401" s="69"/>
      <c r="AY1401" s="69"/>
      <c r="AZ1401" s="69"/>
      <c r="BA1401" s="69"/>
      <c r="BB1401" s="69"/>
      <c r="BC1401" s="69"/>
      <c r="BD1401" s="69"/>
      <c r="BE1401" s="69"/>
      <c r="BF1401" s="55"/>
      <c r="BG1401" s="70"/>
      <c r="BH1401" s="63">
        <f t="shared" si="63"/>
        <v>0</v>
      </c>
      <c r="BI1401" s="63"/>
      <c r="BJ1401" s="70"/>
      <c r="BK1401" s="203">
        <f t="shared" si="62"/>
        <v>0</v>
      </c>
      <c r="BL1401" s="63"/>
      <c r="BM1401" s="71"/>
      <c r="BN1401" s="71"/>
      <c r="BO1401" s="71"/>
    </row>
    <row r="1402" spans="2:67" ht="18.95" customHeight="1">
      <c r="B1402" s="51" t="s">
        <v>200</v>
      </c>
      <c r="C1402" s="52" t="s">
        <v>1242</v>
      </c>
      <c r="D1402" s="51"/>
      <c r="E1402" s="243"/>
      <c r="F1402" s="55"/>
      <c r="G1402" s="55"/>
      <c r="H1402" s="55"/>
      <c r="I1402" s="55"/>
      <c r="J1402" s="55"/>
      <c r="K1402" s="55"/>
      <c r="L1402" s="55"/>
      <c r="M1402" s="55"/>
      <c r="N1402" s="56"/>
      <c r="O1402" s="55"/>
      <c r="P1402" s="55"/>
      <c r="Q1402" s="55"/>
      <c r="R1402" s="55"/>
      <c r="S1402" s="55"/>
      <c r="T1402" s="55"/>
      <c r="U1402" s="55"/>
      <c r="V1402" s="55"/>
      <c r="W1402" s="55"/>
      <c r="X1402" s="55"/>
      <c r="Y1402" s="55"/>
      <c r="Z1402" s="55"/>
      <c r="AA1402" s="55"/>
      <c r="AB1402" s="55"/>
      <c r="AC1402" s="55"/>
      <c r="AD1402" s="55"/>
      <c r="AE1402" s="55"/>
      <c r="AF1402" s="55"/>
      <c r="AG1402" s="55"/>
      <c r="AH1402" s="55"/>
      <c r="AI1402" s="55"/>
      <c r="AJ1402" s="55"/>
      <c r="AK1402" s="55"/>
      <c r="AL1402" s="55"/>
      <c r="AM1402" s="55"/>
      <c r="AN1402" s="55"/>
      <c r="AO1402" s="55"/>
      <c r="AP1402" s="55"/>
      <c r="AQ1402" s="55"/>
      <c r="AR1402" s="76"/>
      <c r="AS1402" s="55"/>
      <c r="AT1402" s="55"/>
      <c r="AU1402" s="55"/>
      <c r="AV1402" s="55"/>
      <c r="AW1402" s="55"/>
      <c r="AX1402" s="55"/>
      <c r="AY1402" s="55"/>
      <c r="AZ1402" s="55"/>
      <c r="BA1402" s="55"/>
      <c r="BB1402" s="55"/>
      <c r="BC1402" s="55"/>
      <c r="BD1402" s="55"/>
      <c r="BE1402" s="55"/>
      <c r="BF1402" s="55"/>
      <c r="BG1402" s="70"/>
      <c r="BH1402" s="63">
        <f t="shared" si="63"/>
        <v>0</v>
      </c>
      <c r="BI1402" s="63"/>
      <c r="BJ1402" s="70"/>
      <c r="BK1402" s="203">
        <f t="shared" si="62"/>
        <v>0</v>
      </c>
      <c r="BL1402" s="63"/>
      <c r="BM1402" s="71"/>
      <c r="BN1402" s="65"/>
      <c r="BO1402" s="65"/>
    </row>
    <row r="1415" spans="2:67">
      <c r="B1415" s="2" t="s">
        <v>1</v>
      </c>
      <c r="C1415" s="2"/>
      <c r="D1415" s="2"/>
      <c r="E1415" s="2"/>
      <c r="F1415" s="3"/>
      <c r="G1415" s="4"/>
      <c r="H1415" s="4"/>
      <c r="I1415" s="4"/>
      <c r="J1415" s="4"/>
      <c r="K1415" s="4"/>
      <c r="L1415" s="4"/>
      <c r="M1415" s="4"/>
      <c r="N1415" s="107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5"/>
      <c r="AE1415" s="5"/>
      <c r="AF1415" s="5"/>
      <c r="AG1415" s="5"/>
      <c r="AH1415" s="5"/>
      <c r="AI1415" s="5"/>
      <c r="AJ1415" s="5"/>
      <c r="AK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7"/>
      <c r="BI1415" s="7"/>
      <c r="BJ1415" s="5"/>
      <c r="BK1415" s="5"/>
      <c r="BM1415" s="5"/>
      <c r="BN1415" s="5"/>
      <c r="BO1415" s="5"/>
    </row>
    <row r="1416" spans="2:67" ht="18.75">
      <c r="B1416" s="2"/>
      <c r="C1416" s="2"/>
      <c r="D1416" s="2"/>
      <c r="E1416" s="2"/>
      <c r="F1416" s="139" t="s">
        <v>0</v>
      </c>
      <c r="G1416" s="139"/>
      <c r="H1416" s="139"/>
      <c r="I1416" s="139"/>
      <c r="J1416" s="139"/>
      <c r="K1416" s="139"/>
      <c r="L1416" s="139"/>
      <c r="M1416" s="139"/>
      <c r="N1416" s="139"/>
      <c r="O1416" s="139"/>
      <c r="P1416" s="139"/>
      <c r="Q1416" s="139"/>
      <c r="R1416" s="139"/>
      <c r="S1416" s="139"/>
      <c r="T1416" s="139"/>
      <c r="U1416" s="139"/>
      <c r="V1416" s="139"/>
      <c r="W1416" s="139"/>
      <c r="X1416" s="139"/>
      <c r="Y1416" s="140"/>
      <c r="Z1416" s="140"/>
      <c r="AA1416" s="140"/>
      <c r="AB1416" s="140"/>
      <c r="AC1416" s="140"/>
      <c r="AD1416" s="140"/>
      <c r="AE1416" s="141"/>
      <c r="AF1416" s="8"/>
      <c r="AG1416" s="8"/>
      <c r="AH1416" s="8"/>
      <c r="AI1416" s="8"/>
      <c r="AJ1416" s="8"/>
      <c r="AK1416" s="8"/>
      <c r="AL1416" s="142"/>
      <c r="AM1416" s="8"/>
      <c r="AN1416" s="8"/>
      <c r="AO1416" s="8"/>
      <c r="AP1416" s="8"/>
      <c r="AQ1416" s="8"/>
      <c r="AR1416" s="143"/>
      <c r="AS1416" s="8"/>
      <c r="AT1416" s="8"/>
      <c r="AU1416" s="8"/>
      <c r="AV1416" s="8"/>
      <c r="AW1416" s="8"/>
      <c r="AX1416" s="8"/>
      <c r="AY1416" s="8"/>
      <c r="AZ1416" s="8"/>
      <c r="BA1416" s="8"/>
      <c r="BB1416" s="8"/>
      <c r="BC1416" s="8"/>
      <c r="BD1416" s="8"/>
      <c r="BE1416" s="8"/>
      <c r="BF1416" s="9" t="s">
        <v>1296</v>
      </c>
      <c r="BG1416" s="10"/>
      <c r="BH1416" s="10"/>
      <c r="BI1416" s="10"/>
      <c r="BJ1416" s="10"/>
      <c r="BK1416" s="10"/>
      <c r="BL1416" s="10"/>
      <c r="BM1416" s="10"/>
      <c r="BN1416" s="10"/>
      <c r="BO1416" s="11"/>
    </row>
    <row r="1417" spans="2:67">
      <c r="B1417" s="12"/>
      <c r="C1417" s="12"/>
      <c r="D1417" s="12"/>
      <c r="E1417" s="12"/>
      <c r="F1417" s="13"/>
      <c r="G1417" s="14" t="s">
        <v>1297</v>
      </c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5"/>
      <c r="Z1417" s="15"/>
      <c r="AA1417" s="15"/>
      <c r="AB1417" s="15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6"/>
      <c r="AM1417" s="15"/>
      <c r="AN1417" s="15"/>
      <c r="AO1417" s="15"/>
      <c r="AP1417" s="15"/>
      <c r="AQ1417" s="15"/>
      <c r="AR1417" s="17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8"/>
      <c r="BM1417" s="15"/>
      <c r="BN1417" s="15"/>
      <c r="BO1417" s="15"/>
    </row>
    <row r="1418" spans="2:67" ht="15">
      <c r="B1418" s="19" t="s">
        <v>4</v>
      </c>
      <c r="C1418" s="20" t="s">
        <v>5</v>
      </c>
      <c r="D1418" s="20"/>
      <c r="E1418" s="205" t="s">
        <v>6</v>
      </c>
      <c r="F1418" s="110" t="s">
        <v>135</v>
      </c>
      <c r="G1418" s="111"/>
      <c r="H1418" s="111"/>
      <c r="I1418" s="111"/>
      <c r="J1418" s="111"/>
      <c r="K1418" s="111"/>
      <c r="L1418" s="111"/>
      <c r="M1418" s="111"/>
      <c r="N1418" s="111"/>
      <c r="O1418" s="111"/>
      <c r="P1418" s="111"/>
      <c r="Q1418" s="111"/>
      <c r="R1418" s="111"/>
      <c r="S1418" s="111"/>
      <c r="T1418" s="111"/>
      <c r="U1418" s="111"/>
      <c r="V1418" s="111"/>
      <c r="W1418" s="111"/>
      <c r="X1418" s="111"/>
      <c r="Y1418" s="111"/>
      <c r="Z1418" s="111"/>
      <c r="AA1418" s="111"/>
      <c r="AB1418" s="111"/>
      <c r="AC1418" s="111"/>
      <c r="AD1418" s="111"/>
      <c r="AE1418" s="111"/>
      <c r="AF1418" s="111"/>
      <c r="AG1418" s="111"/>
      <c r="AH1418" s="111"/>
      <c r="AI1418" s="111"/>
      <c r="AJ1418" s="111"/>
      <c r="AK1418" s="111"/>
      <c r="AL1418" s="111"/>
      <c r="AM1418" s="111"/>
      <c r="AN1418" s="111"/>
      <c r="AO1418" s="111"/>
      <c r="AP1418" s="111"/>
      <c r="AQ1418" s="111"/>
      <c r="AR1418" s="111"/>
      <c r="AS1418" s="111"/>
      <c r="AT1418" s="111"/>
      <c r="AU1418" s="111"/>
      <c r="AV1418" s="111"/>
      <c r="AW1418" s="111"/>
      <c r="AX1418" s="111"/>
      <c r="AY1418" s="111"/>
      <c r="AZ1418" s="111"/>
      <c r="BA1418" s="111"/>
      <c r="BB1418" s="111"/>
      <c r="BC1418" s="111"/>
      <c r="BD1418" s="111"/>
      <c r="BE1418" s="111"/>
      <c r="BF1418" s="24" t="s">
        <v>8</v>
      </c>
      <c r="BG1418" s="25"/>
      <c r="BH1418" s="25"/>
      <c r="BI1418" s="26"/>
      <c r="BJ1418" s="31" t="s">
        <v>9</v>
      </c>
      <c r="BK1418" s="32"/>
      <c r="BL1418" s="29"/>
      <c r="BM1418" s="30"/>
      <c r="BN1418" s="31" t="s">
        <v>10</v>
      </c>
      <c r="BO1418" s="32"/>
    </row>
    <row r="1419" spans="2:67" ht="110.1" customHeight="1">
      <c r="B1419" s="33"/>
      <c r="C1419" s="34" t="s">
        <v>11</v>
      </c>
      <c r="D1419" s="35" t="s">
        <v>4</v>
      </c>
      <c r="E1419" s="35" t="s">
        <v>12</v>
      </c>
      <c r="F1419" s="36" t="s">
        <v>13</v>
      </c>
      <c r="G1419" s="36" t="s">
        <v>14</v>
      </c>
      <c r="H1419" s="36" t="s">
        <v>15</v>
      </c>
      <c r="I1419" s="36" t="s">
        <v>16</v>
      </c>
      <c r="J1419" s="36" t="s">
        <v>17</v>
      </c>
      <c r="K1419" s="36" t="s">
        <v>18</v>
      </c>
      <c r="L1419" s="36" t="s">
        <v>19</v>
      </c>
      <c r="M1419" s="36" t="s">
        <v>20</v>
      </c>
      <c r="N1419" s="37" t="s">
        <v>21</v>
      </c>
      <c r="O1419" s="36" t="s">
        <v>22</v>
      </c>
      <c r="P1419" s="36" t="s">
        <v>23</v>
      </c>
      <c r="Q1419" s="36" t="s">
        <v>24</v>
      </c>
      <c r="R1419" s="36" t="s">
        <v>25</v>
      </c>
      <c r="S1419" s="36" t="s">
        <v>26</v>
      </c>
      <c r="T1419" s="36" t="s">
        <v>27</v>
      </c>
      <c r="U1419" s="36" t="s">
        <v>28</v>
      </c>
      <c r="V1419" s="36" t="s">
        <v>29</v>
      </c>
      <c r="W1419" s="36" t="s">
        <v>30</v>
      </c>
      <c r="X1419" s="38" t="s">
        <v>31</v>
      </c>
      <c r="Y1419" s="36" t="s">
        <v>32</v>
      </c>
      <c r="Z1419" s="36" t="s">
        <v>33</v>
      </c>
      <c r="AA1419" s="36" t="s">
        <v>34</v>
      </c>
      <c r="AB1419" s="38" t="s">
        <v>35</v>
      </c>
      <c r="AC1419" s="36" t="s">
        <v>36</v>
      </c>
      <c r="AD1419" s="39" t="s">
        <v>37</v>
      </c>
      <c r="AE1419" s="36" t="s">
        <v>38</v>
      </c>
      <c r="AF1419" s="40" t="s">
        <v>39</v>
      </c>
      <c r="AG1419" s="40" t="s">
        <v>40</v>
      </c>
      <c r="AH1419" s="40" t="s">
        <v>41</v>
      </c>
      <c r="AI1419" s="40" t="s">
        <v>42</v>
      </c>
      <c r="AJ1419" s="40" t="s">
        <v>43</v>
      </c>
      <c r="AK1419" s="40" t="s">
        <v>44</v>
      </c>
      <c r="AL1419" s="41" t="s">
        <v>45</v>
      </c>
      <c r="AM1419" s="42" t="s">
        <v>46</v>
      </c>
      <c r="AN1419" s="43" t="s">
        <v>47</v>
      </c>
      <c r="AO1419" s="40" t="s">
        <v>48</v>
      </c>
      <c r="AP1419" s="40" t="s">
        <v>49</v>
      </c>
      <c r="AQ1419" s="40" t="s">
        <v>50</v>
      </c>
      <c r="AR1419" s="44" t="s">
        <v>136</v>
      </c>
      <c r="AS1419" s="36" t="s">
        <v>52</v>
      </c>
      <c r="AT1419" s="36" t="s">
        <v>53</v>
      </c>
      <c r="AU1419" s="36" t="s">
        <v>54</v>
      </c>
      <c r="AV1419" s="36" t="s">
        <v>55</v>
      </c>
      <c r="AW1419" s="36" t="s">
        <v>56</v>
      </c>
      <c r="AX1419" s="36" t="s">
        <v>203</v>
      </c>
      <c r="AY1419" s="36" t="s">
        <v>58</v>
      </c>
      <c r="AZ1419" s="38" t="s">
        <v>59</v>
      </c>
      <c r="BA1419" s="36" t="s">
        <v>60</v>
      </c>
      <c r="BB1419" s="36" t="s">
        <v>1241</v>
      </c>
      <c r="BC1419" s="39" t="s">
        <v>62</v>
      </c>
      <c r="BD1419" s="36" t="s">
        <v>63</v>
      </c>
      <c r="BE1419" s="36" t="s">
        <v>64</v>
      </c>
      <c r="BF1419" s="45" t="s">
        <v>65</v>
      </c>
      <c r="BG1419" s="45" t="s">
        <v>66</v>
      </c>
      <c r="BH1419" s="45" t="s">
        <v>67</v>
      </c>
      <c r="BI1419" s="45" t="s">
        <v>68</v>
      </c>
      <c r="BJ1419" s="46" t="s">
        <v>69</v>
      </c>
      <c r="BK1419" s="46" t="s">
        <v>70</v>
      </c>
      <c r="BL1419" s="47" t="s">
        <v>71</v>
      </c>
      <c r="BM1419" s="48" t="s">
        <v>72</v>
      </c>
      <c r="BN1419" s="49" t="s">
        <v>69</v>
      </c>
      <c r="BO1419" s="50" t="s">
        <v>70</v>
      </c>
    </row>
    <row r="1420" spans="2:67" ht="18.95" customHeight="1">
      <c r="B1420" s="51" t="s">
        <v>959</v>
      </c>
      <c r="C1420" s="52" t="s">
        <v>1298</v>
      </c>
      <c r="D1420" s="53" t="s">
        <v>73</v>
      </c>
      <c r="E1420" s="244" t="s">
        <v>1299</v>
      </c>
      <c r="F1420" s="55"/>
      <c r="G1420" s="55"/>
      <c r="H1420" s="55"/>
      <c r="I1420" s="55"/>
      <c r="J1420" s="55"/>
      <c r="K1420" s="55"/>
      <c r="L1420" s="55"/>
      <c r="M1420" s="55"/>
      <c r="N1420" s="56"/>
      <c r="O1420" s="55"/>
      <c r="P1420" s="55"/>
      <c r="Q1420" s="57"/>
      <c r="R1420" s="55"/>
      <c r="S1420" s="58"/>
      <c r="T1420" s="58"/>
      <c r="U1420" s="55"/>
      <c r="V1420" s="55"/>
      <c r="W1420" s="55"/>
      <c r="X1420" s="55"/>
      <c r="Y1420" s="55"/>
      <c r="Z1420" s="55"/>
      <c r="AA1420" s="55"/>
      <c r="AB1420" s="55"/>
      <c r="AC1420" s="55"/>
      <c r="AD1420" s="55"/>
      <c r="AE1420" s="57"/>
      <c r="AF1420" s="57"/>
      <c r="AG1420" s="57"/>
      <c r="AH1420" s="57"/>
      <c r="AI1420" s="57"/>
      <c r="AJ1420" s="57"/>
      <c r="AK1420" s="57"/>
      <c r="AL1420" s="59"/>
      <c r="AM1420" s="57"/>
      <c r="AN1420" s="57"/>
      <c r="AO1420" s="55"/>
      <c r="AP1420" s="55"/>
      <c r="AQ1420" s="57"/>
      <c r="AR1420" s="60"/>
      <c r="AS1420" s="57">
        <v>2</v>
      </c>
      <c r="AT1420" s="57"/>
      <c r="AU1420" s="57"/>
      <c r="AV1420" s="61"/>
      <c r="AW1420" s="61"/>
      <c r="AX1420" s="61"/>
      <c r="AY1420" s="61"/>
      <c r="AZ1420" s="61"/>
      <c r="BA1420" s="61"/>
      <c r="BB1420" s="61"/>
      <c r="BC1420" s="61"/>
      <c r="BD1420" s="61"/>
      <c r="BE1420" s="61"/>
      <c r="BF1420" s="55"/>
      <c r="BG1420" s="62"/>
      <c r="BH1420" s="63">
        <f>SUM(F1420:BG1420)</f>
        <v>2</v>
      </c>
      <c r="BI1420" s="64">
        <v>2</v>
      </c>
      <c r="BJ1420" s="62"/>
      <c r="BK1420" s="203">
        <f t="shared" ref="BK1420:BK1449" si="64">BH1420-BI1420</f>
        <v>0</v>
      </c>
      <c r="BL1420" s="64"/>
      <c r="BM1420" s="65"/>
      <c r="BN1420" s="65"/>
      <c r="BO1420" s="65"/>
    </row>
    <row r="1421" spans="2:67" ht="18.95" customHeight="1">
      <c r="B1421" s="51" t="s">
        <v>390</v>
      </c>
      <c r="C1421" s="52" t="s">
        <v>1298</v>
      </c>
      <c r="D1421" s="53" t="s">
        <v>76</v>
      </c>
      <c r="E1421" s="244" t="s">
        <v>1300</v>
      </c>
      <c r="F1421" s="66"/>
      <c r="G1421" s="66"/>
      <c r="H1421" s="66"/>
      <c r="I1421" s="66"/>
      <c r="J1421" s="66"/>
      <c r="K1421" s="66"/>
      <c r="L1421" s="66"/>
      <c r="M1421" s="66"/>
      <c r="N1421" s="67"/>
      <c r="O1421" s="66"/>
      <c r="P1421" s="66"/>
      <c r="Q1421" s="66"/>
      <c r="R1421" s="66"/>
      <c r="S1421" s="66"/>
      <c r="T1421" s="66"/>
      <c r="U1421" s="66"/>
      <c r="V1421" s="66"/>
      <c r="W1421" s="66"/>
      <c r="X1421" s="66"/>
      <c r="Y1421" s="66"/>
      <c r="Z1421" s="66"/>
      <c r="AA1421" s="66"/>
      <c r="AB1421" s="66"/>
      <c r="AC1421" s="66"/>
      <c r="AD1421" s="66"/>
      <c r="AE1421" s="66"/>
      <c r="AF1421" s="66"/>
      <c r="AG1421" s="66"/>
      <c r="AH1421" s="66"/>
      <c r="AI1421" s="66"/>
      <c r="AJ1421" s="66"/>
      <c r="AK1421" s="66"/>
      <c r="AL1421" s="66"/>
      <c r="AM1421" s="66"/>
      <c r="AN1421" s="66"/>
      <c r="AO1421" s="66"/>
      <c r="AP1421" s="66"/>
      <c r="AQ1421" s="66"/>
      <c r="AR1421" s="68"/>
      <c r="AS1421" s="66">
        <v>2</v>
      </c>
      <c r="AT1421" s="66"/>
      <c r="AU1421" s="66"/>
      <c r="AV1421" s="69"/>
      <c r="AW1421" s="69"/>
      <c r="AX1421" s="69"/>
      <c r="AY1421" s="69"/>
      <c r="AZ1421" s="69"/>
      <c r="BA1421" s="69"/>
      <c r="BB1421" s="69"/>
      <c r="BC1421" s="69"/>
      <c r="BD1421" s="69"/>
      <c r="BE1421" s="69"/>
      <c r="BF1421" s="55"/>
      <c r="BG1421" s="70"/>
      <c r="BH1421" s="63">
        <f>SUM(F1421:BG1421)</f>
        <v>2</v>
      </c>
      <c r="BI1421" s="63">
        <v>2</v>
      </c>
      <c r="BJ1421" s="70"/>
      <c r="BK1421" s="203">
        <f t="shared" si="64"/>
        <v>0</v>
      </c>
      <c r="BL1421" s="63"/>
      <c r="BM1421" s="71"/>
      <c r="BN1421" s="71"/>
      <c r="BO1421" s="72"/>
    </row>
    <row r="1422" spans="2:67" ht="18.95" customHeight="1">
      <c r="B1422" s="51" t="s">
        <v>1301</v>
      </c>
      <c r="C1422" s="52" t="s">
        <v>1298</v>
      </c>
      <c r="D1422" s="53" t="s">
        <v>78</v>
      </c>
      <c r="E1422" s="244" t="s">
        <v>1302</v>
      </c>
      <c r="F1422" s="66"/>
      <c r="G1422" s="66"/>
      <c r="H1422" s="66"/>
      <c r="I1422" s="66"/>
      <c r="J1422" s="66"/>
      <c r="K1422" s="66"/>
      <c r="L1422" s="66"/>
      <c r="M1422" s="66"/>
      <c r="N1422" s="67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A1422" s="66"/>
      <c r="AB1422" s="66"/>
      <c r="AC1422" s="66"/>
      <c r="AD1422" s="66"/>
      <c r="AE1422" s="66"/>
      <c r="AF1422" s="66"/>
      <c r="AG1422" s="66"/>
      <c r="AH1422" s="66"/>
      <c r="AI1422" s="66"/>
      <c r="AJ1422" s="66"/>
      <c r="AK1422" s="66"/>
      <c r="AL1422" s="66"/>
      <c r="AM1422" s="66"/>
      <c r="AN1422" s="66"/>
      <c r="AO1422" s="66"/>
      <c r="AP1422" s="66"/>
      <c r="AQ1422" s="66"/>
      <c r="AR1422" s="68"/>
      <c r="AS1422" s="66">
        <v>2</v>
      </c>
      <c r="AT1422" s="66"/>
      <c r="AU1422" s="66"/>
      <c r="AV1422" s="69"/>
      <c r="AW1422" s="69"/>
      <c r="AX1422" s="69"/>
      <c r="AY1422" s="69"/>
      <c r="AZ1422" s="69"/>
      <c r="BA1422" s="69"/>
      <c r="BB1422" s="69"/>
      <c r="BC1422" s="69"/>
      <c r="BD1422" s="69"/>
      <c r="BE1422" s="69"/>
      <c r="BF1422" s="55"/>
      <c r="BG1422" s="70"/>
      <c r="BH1422" s="63">
        <f>SUM(F1422:BG1422)</f>
        <v>2</v>
      </c>
      <c r="BI1422" s="63">
        <v>2</v>
      </c>
      <c r="BJ1422" s="70"/>
      <c r="BK1422" s="203">
        <f t="shared" si="64"/>
        <v>0</v>
      </c>
      <c r="BL1422" s="63"/>
      <c r="BM1422" s="71"/>
      <c r="BN1422" s="72"/>
      <c r="BO1422" s="71"/>
    </row>
    <row r="1423" spans="2:67" ht="18.95" customHeight="1">
      <c r="B1423" s="51" t="s">
        <v>1303</v>
      </c>
      <c r="C1423" s="52" t="s">
        <v>1298</v>
      </c>
      <c r="D1423" s="53" t="s">
        <v>80</v>
      </c>
      <c r="E1423" s="244" t="s">
        <v>1304</v>
      </c>
      <c r="F1423" s="66"/>
      <c r="G1423" s="66"/>
      <c r="H1423" s="66"/>
      <c r="I1423" s="66"/>
      <c r="J1423" s="66"/>
      <c r="K1423" s="66"/>
      <c r="L1423" s="66"/>
      <c r="M1423" s="66"/>
      <c r="N1423" s="67"/>
      <c r="O1423" s="66"/>
      <c r="P1423" s="66"/>
      <c r="Q1423" s="66"/>
      <c r="R1423" s="66"/>
      <c r="S1423" s="66"/>
      <c r="T1423" s="66"/>
      <c r="U1423" s="66"/>
      <c r="V1423" s="66"/>
      <c r="W1423" s="66"/>
      <c r="X1423" s="66"/>
      <c r="Y1423" s="66"/>
      <c r="Z1423" s="66"/>
      <c r="AA1423" s="66"/>
      <c r="AB1423" s="66"/>
      <c r="AC1423" s="66"/>
      <c r="AD1423" s="66"/>
      <c r="AE1423" s="66"/>
      <c r="AF1423" s="66"/>
      <c r="AG1423" s="66"/>
      <c r="AH1423" s="66"/>
      <c r="AI1423" s="66"/>
      <c r="AJ1423" s="66"/>
      <c r="AK1423" s="66"/>
      <c r="AL1423" s="66"/>
      <c r="AM1423" s="66"/>
      <c r="AN1423" s="66"/>
      <c r="AO1423" s="66"/>
      <c r="AP1423" s="66"/>
      <c r="AQ1423" s="66"/>
      <c r="AR1423" s="68"/>
      <c r="AS1423" s="66"/>
      <c r="AT1423" s="66"/>
      <c r="AU1423" s="66"/>
      <c r="AV1423" s="69"/>
      <c r="AW1423" s="69"/>
      <c r="AX1423" s="69"/>
      <c r="AY1423" s="69"/>
      <c r="AZ1423" s="69"/>
      <c r="BA1423" s="69"/>
      <c r="BB1423" s="69"/>
      <c r="BC1423" s="69"/>
      <c r="BD1423" s="69"/>
      <c r="BE1423" s="69"/>
      <c r="BF1423" s="55"/>
      <c r="BG1423" s="70"/>
      <c r="BH1423" s="63">
        <f>SUM(F1423:BG1423)</f>
        <v>0</v>
      </c>
      <c r="BI1423" s="63">
        <v>3</v>
      </c>
      <c r="BJ1423" s="70"/>
      <c r="BK1423" s="203">
        <f t="shared" si="64"/>
        <v>-3</v>
      </c>
      <c r="BL1423" s="63"/>
      <c r="BM1423" s="71"/>
      <c r="BN1423" s="71"/>
      <c r="BO1423" s="71"/>
    </row>
    <row r="1424" spans="2:67" ht="18.95" customHeight="1">
      <c r="B1424" s="51" t="s">
        <v>1305</v>
      </c>
      <c r="C1424" s="52" t="s">
        <v>1298</v>
      </c>
      <c r="D1424" s="53" t="s">
        <v>82</v>
      </c>
      <c r="E1424" s="244" t="s">
        <v>1306</v>
      </c>
      <c r="F1424" s="66"/>
      <c r="G1424" s="66"/>
      <c r="H1424" s="66"/>
      <c r="I1424" s="66"/>
      <c r="J1424" s="66"/>
      <c r="K1424" s="66"/>
      <c r="L1424" s="66"/>
      <c r="M1424" s="66"/>
      <c r="N1424" s="67"/>
      <c r="O1424" s="66"/>
      <c r="P1424" s="66"/>
      <c r="Q1424" s="66"/>
      <c r="R1424" s="66"/>
      <c r="S1424" s="66"/>
      <c r="T1424" s="66"/>
      <c r="U1424" s="66"/>
      <c r="V1424" s="66"/>
      <c r="W1424" s="66"/>
      <c r="X1424" s="66"/>
      <c r="Y1424" s="66"/>
      <c r="Z1424" s="66"/>
      <c r="AA1424" s="66"/>
      <c r="AB1424" s="66"/>
      <c r="AC1424" s="66"/>
      <c r="AD1424" s="66"/>
      <c r="AE1424" s="66"/>
      <c r="AF1424" s="66"/>
      <c r="AG1424" s="66"/>
      <c r="AH1424" s="66"/>
      <c r="AI1424" s="66"/>
      <c r="AJ1424" s="66"/>
      <c r="AK1424" s="66"/>
      <c r="AL1424" s="66"/>
      <c r="AM1424" s="66"/>
      <c r="AN1424" s="66"/>
      <c r="AO1424" s="66"/>
      <c r="AP1424" s="66"/>
      <c r="AQ1424" s="66"/>
      <c r="AR1424" s="68"/>
      <c r="AS1424" s="66">
        <v>3</v>
      </c>
      <c r="AT1424" s="66"/>
      <c r="AU1424" s="66"/>
      <c r="AV1424" s="69"/>
      <c r="AW1424" s="69"/>
      <c r="AX1424" s="69"/>
      <c r="AY1424" s="69"/>
      <c r="AZ1424" s="69"/>
      <c r="BA1424" s="69"/>
      <c r="BB1424" s="69"/>
      <c r="BC1424" s="69"/>
      <c r="BD1424" s="69"/>
      <c r="BE1424" s="69"/>
      <c r="BF1424" s="55"/>
      <c r="BG1424" s="70"/>
      <c r="BH1424" s="63">
        <v>3</v>
      </c>
      <c r="BI1424" s="63">
        <v>3</v>
      </c>
      <c r="BJ1424" s="70"/>
      <c r="BK1424" s="203">
        <f t="shared" si="64"/>
        <v>0</v>
      </c>
      <c r="BL1424" s="63"/>
      <c r="BM1424" s="71"/>
      <c r="BN1424" s="71"/>
      <c r="BO1424" s="71"/>
    </row>
    <row r="1425" spans="2:67" ht="18.95" customHeight="1">
      <c r="B1425" s="51" t="s">
        <v>1307</v>
      </c>
      <c r="C1425" s="52" t="s">
        <v>1298</v>
      </c>
      <c r="D1425" s="53" t="s">
        <v>84</v>
      </c>
      <c r="E1425" s="244" t="s">
        <v>1308</v>
      </c>
      <c r="F1425" s="66"/>
      <c r="G1425" s="66"/>
      <c r="H1425" s="66"/>
      <c r="I1425" s="66"/>
      <c r="J1425" s="66"/>
      <c r="K1425" s="66"/>
      <c r="L1425" s="66"/>
      <c r="M1425" s="66"/>
      <c r="N1425" s="67"/>
      <c r="O1425" s="66"/>
      <c r="P1425" s="66"/>
      <c r="Q1425" s="66"/>
      <c r="R1425" s="66"/>
      <c r="S1425" s="66"/>
      <c r="T1425" s="66"/>
      <c r="U1425" s="66"/>
      <c r="V1425" s="66"/>
      <c r="W1425" s="66"/>
      <c r="X1425" s="66"/>
      <c r="Y1425" s="66"/>
      <c r="Z1425" s="66"/>
      <c r="AA1425" s="66"/>
      <c r="AB1425" s="66"/>
      <c r="AC1425" s="66"/>
      <c r="AD1425" s="66"/>
      <c r="AE1425" s="66"/>
      <c r="AF1425" s="66"/>
      <c r="AG1425" s="66"/>
      <c r="AH1425" s="66"/>
      <c r="AI1425" s="66"/>
      <c r="AJ1425" s="66"/>
      <c r="AK1425" s="66"/>
      <c r="AL1425" s="66"/>
      <c r="AM1425" s="66"/>
      <c r="AN1425" s="66"/>
      <c r="AO1425" s="66"/>
      <c r="AP1425" s="66"/>
      <c r="AQ1425" s="66"/>
      <c r="AR1425" s="68"/>
      <c r="AS1425" s="66">
        <v>7</v>
      </c>
      <c r="AT1425" s="66"/>
      <c r="AU1425" s="66"/>
      <c r="AV1425" s="69"/>
      <c r="AW1425" s="69"/>
      <c r="AX1425" s="69"/>
      <c r="AY1425" s="69"/>
      <c r="AZ1425" s="69"/>
      <c r="BA1425" s="69"/>
      <c r="BB1425" s="69"/>
      <c r="BC1425" s="69"/>
      <c r="BD1425" s="69"/>
      <c r="BE1425" s="69"/>
      <c r="BF1425" s="55"/>
      <c r="BG1425" s="70"/>
      <c r="BH1425" s="63">
        <f t="shared" ref="BH1425:BH1449" si="65">SUM(F1425:BG1425)</f>
        <v>7</v>
      </c>
      <c r="BI1425" s="63">
        <v>7</v>
      </c>
      <c r="BJ1425" s="70"/>
      <c r="BK1425" s="203">
        <f t="shared" si="64"/>
        <v>0</v>
      </c>
      <c r="BL1425" s="63"/>
      <c r="BM1425" s="71"/>
      <c r="BN1425" s="71"/>
      <c r="BO1425" s="71"/>
    </row>
    <row r="1426" spans="2:67" ht="18.95" customHeight="1">
      <c r="B1426" s="51" t="s">
        <v>1309</v>
      </c>
      <c r="C1426" s="52" t="s">
        <v>1298</v>
      </c>
      <c r="D1426" s="53" t="s">
        <v>86</v>
      </c>
      <c r="E1426" s="244" t="s">
        <v>1310</v>
      </c>
      <c r="F1426" s="66"/>
      <c r="G1426" s="66"/>
      <c r="H1426" s="66"/>
      <c r="I1426" s="66"/>
      <c r="J1426" s="66"/>
      <c r="K1426" s="66"/>
      <c r="L1426" s="66"/>
      <c r="M1426" s="66"/>
      <c r="N1426" s="67"/>
      <c r="O1426" s="66"/>
      <c r="P1426" s="66"/>
      <c r="Q1426" s="66"/>
      <c r="R1426" s="66"/>
      <c r="S1426" s="66"/>
      <c r="T1426" s="66"/>
      <c r="U1426" s="66"/>
      <c r="V1426" s="66"/>
      <c r="W1426" s="66"/>
      <c r="X1426" s="66"/>
      <c r="Y1426" s="66"/>
      <c r="Z1426" s="66"/>
      <c r="AA1426" s="66"/>
      <c r="AB1426" s="66"/>
      <c r="AC1426" s="66"/>
      <c r="AD1426" s="66"/>
      <c r="AE1426" s="66"/>
      <c r="AF1426" s="66"/>
      <c r="AG1426" s="66"/>
      <c r="AH1426" s="66"/>
      <c r="AI1426" s="66"/>
      <c r="AJ1426" s="66"/>
      <c r="AK1426" s="66"/>
      <c r="AL1426" s="66"/>
      <c r="AM1426" s="66"/>
      <c r="AN1426" s="66"/>
      <c r="AO1426" s="66"/>
      <c r="AP1426" s="66"/>
      <c r="AQ1426" s="66"/>
      <c r="AR1426" s="68"/>
      <c r="AS1426" s="66"/>
      <c r="AT1426" s="66"/>
      <c r="AU1426" s="66"/>
      <c r="AV1426" s="69"/>
      <c r="AW1426" s="69"/>
      <c r="AX1426" s="69"/>
      <c r="AY1426" s="69"/>
      <c r="AZ1426" s="69"/>
      <c r="BA1426" s="69"/>
      <c r="BB1426" s="69"/>
      <c r="BC1426" s="69"/>
      <c r="BD1426" s="69"/>
      <c r="BE1426" s="69"/>
      <c r="BF1426" s="55">
        <v>2</v>
      </c>
      <c r="BG1426" s="70"/>
      <c r="BH1426" s="63">
        <f t="shared" si="65"/>
        <v>2</v>
      </c>
      <c r="BI1426" s="63">
        <v>2</v>
      </c>
      <c r="BJ1426" s="70"/>
      <c r="BK1426" s="203">
        <f t="shared" si="64"/>
        <v>0</v>
      </c>
      <c r="BL1426" s="63"/>
      <c r="BM1426" s="71"/>
      <c r="BN1426" s="71"/>
      <c r="BO1426" s="71"/>
    </row>
    <row r="1427" spans="2:67" ht="18.95" customHeight="1">
      <c r="B1427" s="51" t="s">
        <v>1311</v>
      </c>
      <c r="C1427" s="52" t="s">
        <v>1298</v>
      </c>
      <c r="D1427" s="53" t="s">
        <v>88</v>
      </c>
      <c r="E1427" s="244" t="s">
        <v>1312</v>
      </c>
      <c r="F1427" s="66"/>
      <c r="G1427" s="66"/>
      <c r="H1427" s="66"/>
      <c r="I1427" s="66"/>
      <c r="J1427" s="66"/>
      <c r="K1427" s="66"/>
      <c r="L1427" s="66"/>
      <c r="M1427" s="66"/>
      <c r="N1427" s="67"/>
      <c r="O1427" s="66"/>
      <c r="P1427" s="66"/>
      <c r="Q1427" s="66"/>
      <c r="R1427" s="66"/>
      <c r="S1427" s="66"/>
      <c r="T1427" s="66"/>
      <c r="U1427" s="66"/>
      <c r="V1427" s="66"/>
      <c r="W1427" s="66"/>
      <c r="X1427" s="66"/>
      <c r="Y1427" s="66"/>
      <c r="Z1427" s="66"/>
      <c r="AA1427" s="66"/>
      <c r="AB1427" s="66"/>
      <c r="AC1427" s="66"/>
      <c r="AD1427" s="66"/>
      <c r="AE1427" s="66"/>
      <c r="AF1427" s="66"/>
      <c r="AG1427" s="66"/>
      <c r="AH1427" s="66"/>
      <c r="AI1427" s="66"/>
      <c r="AJ1427" s="66"/>
      <c r="AK1427" s="66"/>
      <c r="AL1427" s="66"/>
      <c r="AM1427" s="66"/>
      <c r="AN1427" s="66"/>
      <c r="AO1427" s="66"/>
      <c r="AP1427" s="66"/>
      <c r="AQ1427" s="66"/>
      <c r="AR1427" s="68"/>
      <c r="AS1427" s="66">
        <v>12</v>
      </c>
      <c r="AT1427" s="66"/>
      <c r="AU1427" s="66"/>
      <c r="AV1427" s="69"/>
      <c r="AW1427" s="69"/>
      <c r="AX1427" s="69"/>
      <c r="AY1427" s="69"/>
      <c r="AZ1427" s="69"/>
      <c r="BA1427" s="69"/>
      <c r="BB1427" s="69"/>
      <c r="BC1427" s="69"/>
      <c r="BD1427" s="69"/>
      <c r="BE1427" s="69"/>
      <c r="BF1427" s="55"/>
      <c r="BG1427" s="70"/>
      <c r="BH1427" s="63">
        <f t="shared" si="65"/>
        <v>12</v>
      </c>
      <c r="BI1427" s="63">
        <v>12</v>
      </c>
      <c r="BJ1427" s="70"/>
      <c r="BK1427" s="203">
        <f t="shared" si="64"/>
        <v>0</v>
      </c>
      <c r="BL1427" s="63"/>
      <c r="BM1427" s="71"/>
      <c r="BN1427" s="71"/>
      <c r="BO1427" s="71"/>
    </row>
    <row r="1428" spans="2:67" ht="18.95" customHeight="1">
      <c r="B1428" s="51" t="s">
        <v>1313</v>
      </c>
      <c r="C1428" s="52" t="s">
        <v>1298</v>
      </c>
      <c r="D1428" s="53" t="s">
        <v>90</v>
      </c>
      <c r="E1428" s="244" t="s">
        <v>1314</v>
      </c>
      <c r="F1428" s="66"/>
      <c r="G1428" s="66"/>
      <c r="H1428" s="66"/>
      <c r="I1428" s="66"/>
      <c r="J1428" s="66"/>
      <c r="K1428" s="66"/>
      <c r="L1428" s="66"/>
      <c r="M1428" s="66"/>
      <c r="N1428" s="67"/>
      <c r="O1428" s="66"/>
      <c r="P1428" s="66"/>
      <c r="Q1428" s="66"/>
      <c r="R1428" s="66"/>
      <c r="S1428" s="66"/>
      <c r="T1428" s="66"/>
      <c r="U1428" s="66"/>
      <c r="V1428" s="66"/>
      <c r="W1428" s="66"/>
      <c r="X1428" s="66"/>
      <c r="Y1428" s="66"/>
      <c r="Z1428" s="66"/>
      <c r="AA1428" s="66"/>
      <c r="AB1428" s="66"/>
      <c r="AC1428" s="66"/>
      <c r="AD1428" s="66"/>
      <c r="AE1428" s="66"/>
      <c r="AF1428" s="66"/>
      <c r="AG1428" s="66"/>
      <c r="AH1428" s="66"/>
      <c r="AI1428" s="66"/>
      <c r="AJ1428" s="66"/>
      <c r="AK1428" s="66"/>
      <c r="AL1428" s="66"/>
      <c r="AM1428" s="66"/>
      <c r="AN1428" s="66"/>
      <c r="AO1428" s="66"/>
      <c r="AP1428" s="66"/>
      <c r="AQ1428" s="66"/>
      <c r="AR1428" s="68"/>
      <c r="AS1428" s="66"/>
      <c r="AT1428" s="66"/>
      <c r="AU1428" s="66"/>
      <c r="AV1428" s="69"/>
      <c r="AW1428" s="69"/>
      <c r="AX1428" s="69"/>
      <c r="AY1428" s="69"/>
      <c r="AZ1428" s="69"/>
      <c r="BA1428" s="69"/>
      <c r="BB1428" s="69"/>
      <c r="BC1428" s="69"/>
      <c r="BD1428" s="69"/>
      <c r="BE1428" s="69"/>
      <c r="BF1428" s="55">
        <v>2</v>
      </c>
      <c r="BG1428" s="70"/>
      <c r="BH1428" s="63">
        <f t="shared" si="65"/>
        <v>2</v>
      </c>
      <c r="BI1428" s="63">
        <v>2</v>
      </c>
      <c r="BJ1428" s="70"/>
      <c r="BK1428" s="203">
        <f t="shared" si="64"/>
        <v>0</v>
      </c>
      <c r="BL1428" s="63"/>
      <c r="BM1428" s="71"/>
      <c r="BN1428" s="71"/>
      <c r="BO1428" s="71"/>
    </row>
    <row r="1429" spans="2:67" ht="18.95" customHeight="1">
      <c r="B1429" s="51" t="s">
        <v>92</v>
      </c>
      <c r="C1429" s="52" t="s">
        <v>1298</v>
      </c>
      <c r="D1429" s="53" t="s">
        <v>92</v>
      </c>
      <c r="E1429" s="244" t="s">
        <v>1315</v>
      </c>
      <c r="F1429" s="66"/>
      <c r="G1429" s="66"/>
      <c r="H1429" s="66"/>
      <c r="I1429" s="66"/>
      <c r="J1429" s="66"/>
      <c r="K1429" s="66"/>
      <c r="L1429" s="66"/>
      <c r="M1429" s="66"/>
      <c r="N1429" s="67"/>
      <c r="O1429" s="66"/>
      <c r="P1429" s="66"/>
      <c r="Q1429" s="66"/>
      <c r="R1429" s="66"/>
      <c r="S1429" s="66"/>
      <c r="T1429" s="66"/>
      <c r="U1429" s="66"/>
      <c r="V1429" s="66"/>
      <c r="W1429" s="66"/>
      <c r="X1429" s="66"/>
      <c r="Y1429" s="66"/>
      <c r="Z1429" s="66"/>
      <c r="AA1429" s="66"/>
      <c r="AB1429" s="66"/>
      <c r="AC1429" s="66"/>
      <c r="AD1429" s="66"/>
      <c r="AE1429" s="66"/>
      <c r="AF1429" s="66"/>
      <c r="AG1429" s="66"/>
      <c r="AH1429" s="66"/>
      <c r="AI1429" s="66"/>
      <c r="AJ1429" s="66"/>
      <c r="AK1429" s="66"/>
      <c r="AL1429" s="66"/>
      <c r="AM1429" s="66"/>
      <c r="AN1429" s="66"/>
      <c r="AO1429" s="66"/>
      <c r="AP1429" s="66"/>
      <c r="AQ1429" s="66"/>
      <c r="AR1429" s="68"/>
      <c r="AS1429" s="66"/>
      <c r="AT1429" s="66"/>
      <c r="AU1429" s="66"/>
      <c r="AV1429" s="69"/>
      <c r="AW1429" s="69"/>
      <c r="AX1429" s="69"/>
      <c r="AY1429" s="69"/>
      <c r="AZ1429" s="69"/>
      <c r="BA1429" s="69"/>
      <c r="BB1429" s="69"/>
      <c r="BC1429" s="69"/>
      <c r="BD1429" s="69"/>
      <c r="BE1429" s="69"/>
      <c r="BF1429" s="55">
        <v>2</v>
      </c>
      <c r="BG1429" s="70"/>
      <c r="BH1429" s="63">
        <f t="shared" si="65"/>
        <v>2</v>
      </c>
      <c r="BI1429" s="63">
        <v>2</v>
      </c>
      <c r="BJ1429" s="70"/>
      <c r="BK1429" s="203">
        <f t="shared" si="64"/>
        <v>0</v>
      </c>
      <c r="BL1429" s="63"/>
      <c r="BM1429" s="71"/>
      <c r="BN1429" s="71"/>
      <c r="BO1429" s="71"/>
    </row>
    <row r="1430" spans="2:67" ht="18.95" customHeight="1">
      <c r="B1430" s="51" t="s">
        <v>94</v>
      </c>
      <c r="C1430" s="52" t="s">
        <v>1298</v>
      </c>
      <c r="D1430" s="53"/>
      <c r="E1430" s="244"/>
      <c r="F1430" s="66"/>
      <c r="G1430" s="66"/>
      <c r="H1430" s="66"/>
      <c r="I1430" s="66"/>
      <c r="J1430" s="66"/>
      <c r="K1430" s="66"/>
      <c r="L1430" s="66"/>
      <c r="M1430" s="66"/>
      <c r="N1430" s="67"/>
      <c r="O1430" s="66"/>
      <c r="P1430" s="66"/>
      <c r="Q1430" s="66"/>
      <c r="R1430" s="66"/>
      <c r="S1430" s="66"/>
      <c r="T1430" s="66"/>
      <c r="U1430" s="66"/>
      <c r="V1430" s="66"/>
      <c r="W1430" s="66"/>
      <c r="X1430" s="66"/>
      <c r="Y1430" s="66"/>
      <c r="Z1430" s="66"/>
      <c r="AA1430" s="66"/>
      <c r="AB1430" s="66"/>
      <c r="AC1430" s="66"/>
      <c r="AD1430" s="66"/>
      <c r="AE1430" s="66"/>
      <c r="AF1430" s="66"/>
      <c r="AG1430" s="66"/>
      <c r="AH1430" s="66"/>
      <c r="AI1430" s="66"/>
      <c r="AJ1430" s="66"/>
      <c r="AK1430" s="66"/>
      <c r="AL1430" s="66"/>
      <c r="AM1430" s="66"/>
      <c r="AN1430" s="66"/>
      <c r="AO1430" s="66"/>
      <c r="AP1430" s="66"/>
      <c r="AQ1430" s="66"/>
      <c r="AR1430" s="68"/>
      <c r="AS1430" s="66"/>
      <c r="AT1430" s="66"/>
      <c r="AU1430" s="66"/>
      <c r="AV1430" s="69"/>
      <c r="AW1430" s="69"/>
      <c r="AX1430" s="69"/>
      <c r="AY1430" s="69"/>
      <c r="AZ1430" s="69"/>
      <c r="BA1430" s="69"/>
      <c r="BB1430" s="69"/>
      <c r="BC1430" s="69"/>
      <c r="BD1430" s="69"/>
      <c r="BE1430" s="69"/>
      <c r="BF1430" s="55"/>
      <c r="BG1430" s="70"/>
      <c r="BH1430" s="63">
        <f t="shared" si="65"/>
        <v>0</v>
      </c>
      <c r="BI1430" s="63"/>
      <c r="BJ1430" s="70"/>
      <c r="BK1430" s="203">
        <f t="shared" si="64"/>
        <v>0</v>
      </c>
      <c r="BL1430" s="63"/>
      <c r="BM1430" s="71"/>
      <c r="BN1430" s="71"/>
      <c r="BO1430" s="71"/>
    </row>
    <row r="1431" spans="2:67" ht="18.95" customHeight="1">
      <c r="B1431" s="51" t="s">
        <v>96</v>
      </c>
      <c r="C1431" s="52" t="s">
        <v>1298</v>
      </c>
      <c r="D1431" s="53"/>
      <c r="E1431" s="244"/>
      <c r="F1431" s="66"/>
      <c r="G1431" s="66"/>
      <c r="H1431" s="66"/>
      <c r="I1431" s="66"/>
      <c r="J1431" s="66"/>
      <c r="K1431" s="66"/>
      <c r="L1431" s="66"/>
      <c r="M1431" s="66"/>
      <c r="N1431" s="67"/>
      <c r="O1431" s="66"/>
      <c r="P1431" s="66"/>
      <c r="Q1431" s="66"/>
      <c r="R1431" s="66"/>
      <c r="S1431" s="66"/>
      <c r="T1431" s="66"/>
      <c r="U1431" s="66"/>
      <c r="V1431" s="66"/>
      <c r="W1431" s="66"/>
      <c r="X1431" s="66"/>
      <c r="Y1431" s="66"/>
      <c r="Z1431" s="66"/>
      <c r="AA1431" s="66"/>
      <c r="AB1431" s="66"/>
      <c r="AC1431" s="66"/>
      <c r="AD1431" s="66"/>
      <c r="AE1431" s="66"/>
      <c r="AF1431" s="66"/>
      <c r="AG1431" s="66"/>
      <c r="AH1431" s="66"/>
      <c r="AI1431" s="66"/>
      <c r="AJ1431" s="66"/>
      <c r="AK1431" s="66"/>
      <c r="AL1431" s="66"/>
      <c r="AM1431" s="66"/>
      <c r="AN1431" s="66"/>
      <c r="AO1431" s="66"/>
      <c r="AP1431" s="66"/>
      <c r="AQ1431" s="66"/>
      <c r="AR1431" s="68"/>
      <c r="AS1431" s="66"/>
      <c r="AT1431" s="66"/>
      <c r="AU1431" s="66"/>
      <c r="AV1431" s="69"/>
      <c r="AW1431" s="69"/>
      <c r="AX1431" s="69"/>
      <c r="AY1431" s="69"/>
      <c r="AZ1431" s="69"/>
      <c r="BA1431" s="69"/>
      <c r="BB1431" s="69"/>
      <c r="BC1431" s="69"/>
      <c r="BD1431" s="69"/>
      <c r="BE1431" s="69"/>
      <c r="BF1431" s="55"/>
      <c r="BG1431" s="70"/>
      <c r="BH1431" s="63">
        <f t="shared" si="65"/>
        <v>0</v>
      </c>
      <c r="BI1431" s="63"/>
      <c r="BJ1431" s="70"/>
      <c r="BK1431" s="203">
        <f t="shared" si="64"/>
        <v>0</v>
      </c>
      <c r="BL1431" s="63"/>
      <c r="BM1431" s="71"/>
      <c r="BN1431" s="71"/>
      <c r="BO1431" s="71"/>
    </row>
    <row r="1432" spans="2:67" ht="18.95" customHeight="1">
      <c r="B1432" s="51" t="s">
        <v>98</v>
      </c>
      <c r="C1432" s="52" t="s">
        <v>1298</v>
      </c>
      <c r="D1432" s="53"/>
      <c r="E1432" s="244"/>
      <c r="F1432" s="66"/>
      <c r="G1432" s="66"/>
      <c r="H1432" s="66"/>
      <c r="I1432" s="66"/>
      <c r="J1432" s="66"/>
      <c r="K1432" s="66"/>
      <c r="L1432" s="66"/>
      <c r="M1432" s="66"/>
      <c r="N1432" s="67"/>
      <c r="O1432" s="66"/>
      <c r="P1432" s="66"/>
      <c r="Q1432" s="66"/>
      <c r="R1432" s="66"/>
      <c r="S1432" s="66"/>
      <c r="T1432" s="66"/>
      <c r="U1432" s="66"/>
      <c r="V1432" s="66"/>
      <c r="W1432" s="66"/>
      <c r="X1432" s="66"/>
      <c r="Y1432" s="66"/>
      <c r="Z1432" s="66"/>
      <c r="AA1432" s="66"/>
      <c r="AB1432" s="66"/>
      <c r="AC1432" s="66"/>
      <c r="AD1432" s="66"/>
      <c r="AE1432" s="66"/>
      <c r="AF1432" s="66"/>
      <c r="AG1432" s="66"/>
      <c r="AH1432" s="66"/>
      <c r="AI1432" s="66"/>
      <c r="AJ1432" s="66"/>
      <c r="AK1432" s="66"/>
      <c r="AL1432" s="66"/>
      <c r="AM1432" s="66"/>
      <c r="AN1432" s="66"/>
      <c r="AO1432" s="66"/>
      <c r="AP1432" s="66"/>
      <c r="AQ1432" s="66"/>
      <c r="AR1432" s="68"/>
      <c r="AS1432" s="66"/>
      <c r="AT1432" s="66"/>
      <c r="AU1432" s="66"/>
      <c r="AV1432" s="69"/>
      <c r="AW1432" s="69"/>
      <c r="AX1432" s="69"/>
      <c r="AY1432" s="69"/>
      <c r="AZ1432" s="69"/>
      <c r="BA1432" s="69"/>
      <c r="BB1432" s="69"/>
      <c r="BC1432" s="69"/>
      <c r="BD1432" s="69"/>
      <c r="BE1432" s="69"/>
      <c r="BF1432" s="55"/>
      <c r="BG1432" s="70"/>
      <c r="BH1432" s="63">
        <f t="shared" si="65"/>
        <v>0</v>
      </c>
      <c r="BI1432" s="63"/>
      <c r="BJ1432" s="70"/>
      <c r="BK1432" s="203">
        <f t="shared" si="64"/>
        <v>0</v>
      </c>
      <c r="BL1432" s="63"/>
      <c r="BM1432" s="71"/>
      <c r="BN1432" s="71"/>
      <c r="BO1432" s="71"/>
    </row>
    <row r="1433" spans="2:67" ht="18.95" customHeight="1">
      <c r="B1433" s="51" t="s">
        <v>100</v>
      </c>
      <c r="C1433" s="52" t="s">
        <v>1298</v>
      </c>
      <c r="D1433" s="53"/>
      <c r="E1433" s="244"/>
      <c r="F1433" s="66"/>
      <c r="G1433" s="66"/>
      <c r="H1433" s="66"/>
      <c r="I1433" s="66"/>
      <c r="J1433" s="66"/>
      <c r="K1433" s="66"/>
      <c r="L1433" s="66"/>
      <c r="M1433" s="66"/>
      <c r="N1433" s="67"/>
      <c r="O1433" s="66"/>
      <c r="P1433" s="66"/>
      <c r="Q1433" s="66"/>
      <c r="R1433" s="66"/>
      <c r="S1433" s="66"/>
      <c r="T1433" s="66"/>
      <c r="U1433" s="66"/>
      <c r="V1433" s="66"/>
      <c r="W1433" s="66"/>
      <c r="X1433" s="66"/>
      <c r="Y1433" s="66"/>
      <c r="Z1433" s="66"/>
      <c r="AA1433" s="66"/>
      <c r="AB1433" s="66"/>
      <c r="AC1433" s="66"/>
      <c r="AD1433" s="66"/>
      <c r="AE1433" s="66"/>
      <c r="AF1433" s="66"/>
      <c r="AG1433" s="66"/>
      <c r="AH1433" s="66"/>
      <c r="AI1433" s="66"/>
      <c r="AJ1433" s="66"/>
      <c r="AK1433" s="66"/>
      <c r="AL1433" s="66"/>
      <c r="AM1433" s="66"/>
      <c r="AN1433" s="66"/>
      <c r="AO1433" s="66"/>
      <c r="AP1433" s="66"/>
      <c r="AQ1433" s="66"/>
      <c r="AR1433" s="68"/>
      <c r="AS1433" s="66"/>
      <c r="AT1433" s="66"/>
      <c r="AU1433" s="66"/>
      <c r="AV1433" s="69"/>
      <c r="AW1433" s="69"/>
      <c r="AX1433" s="69"/>
      <c r="AY1433" s="69"/>
      <c r="AZ1433" s="69"/>
      <c r="BA1433" s="69"/>
      <c r="BB1433" s="69"/>
      <c r="BC1433" s="69"/>
      <c r="BD1433" s="69"/>
      <c r="BE1433" s="69"/>
      <c r="BF1433" s="55"/>
      <c r="BG1433" s="70"/>
      <c r="BH1433" s="63">
        <f t="shared" si="65"/>
        <v>0</v>
      </c>
      <c r="BI1433" s="63"/>
      <c r="BJ1433" s="70"/>
      <c r="BK1433" s="203">
        <f t="shared" si="64"/>
        <v>0</v>
      </c>
      <c r="BL1433" s="63"/>
      <c r="BM1433" s="71"/>
      <c r="BN1433" s="71"/>
      <c r="BO1433" s="71"/>
    </row>
    <row r="1434" spans="2:67" ht="18.95" customHeight="1">
      <c r="B1434" s="51" t="s">
        <v>102</v>
      </c>
      <c r="C1434" s="52" t="s">
        <v>1298</v>
      </c>
      <c r="D1434" s="53"/>
      <c r="E1434" s="244"/>
      <c r="F1434" s="66"/>
      <c r="G1434" s="66"/>
      <c r="H1434" s="66"/>
      <c r="I1434" s="66"/>
      <c r="J1434" s="66"/>
      <c r="K1434" s="66"/>
      <c r="L1434" s="66"/>
      <c r="M1434" s="66"/>
      <c r="N1434" s="67"/>
      <c r="O1434" s="66"/>
      <c r="P1434" s="66"/>
      <c r="Q1434" s="66"/>
      <c r="R1434" s="66"/>
      <c r="S1434" s="66"/>
      <c r="T1434" s="66"/>
      <c r="U1434" s="66"/>
      <c r="V1434" s="66"/>
      <c r="W1434" s="66"/>
      <c r="X1434" s="66"/>
      <c r="Y1434" s="66"/>
      <c r="Z1434" s="66"/>
      <c r="AA1434" s="66"/>
      <c r="AB1434" s="66"/>
      <c r="AC1434" s="66"/>
      <c r="AD1434" s="66"/>
      <c r="AE1434" s="66"/>
      <c r="AF1434" s="66"/>
      <c r="AG1434" s="66"/>
      <c r="AH1434" s="66"/>
      <c r="AI1434" s="66"/>
      <c r="AJ1434" s="66"/>
      <c r="AK1434" s="66"/>
      <c r="AL1434" s="66"/>
      <c r="AM1434" s="66"/>
      <c r="AN1434" s="66"/>
      <c r="AO1434" s="66"/>
      <c r="AP1434" s="66"/>
      <c r="AQ1434" s="66"/>
      <c r="AR1434" s="68"/>
      <c r="AS1434" s="66"/>
      <c r="AT1434" s="66"/>
      <c r="AU1434" s="66"/>
      <c r="AV1434" s="69"/>
      <c r="AW1434" s="69"/>
      <c r="AX1434" s="69"/>
      <c r="AY1434" s="69"/>
      <c r="AZ1434" s="69"/>
      <c r="BA1434" s="69"/>
      <c r="BB1434" s="69"/>
      <c r="BC1434" s="69"/>
      <c r="BD1434" s="69"/>
      <c r="BE1434" s="69"/>
      <c r="BF1434" s="55"/>
      <c r="BG1434" s="70"/>
      <c r="BH1434" s="63">
        <f t="shared" si="65"/>
        <v>0</v>
      </c>
      <c r="BI1434" s="63"/>
      <c r="BJ1434" s="70"/>
      <c r="BK1434" s="203">
        <f t="shared" si="64"/>
        <v>0</v>
      </c>
      <c r="BL1434" s="63"/>
      <c r="BM1434" s="71"/>
      <c r="BN1434" s="71"/>
      <c r="BO1434" s="71"/>
    </row>
    <row r="1435" spans="2:67" ht="18.95" customHeight="1">
      <c r="B1435" s="51" t="s">
        <v>104</v>
      </c>
      <c r="C1435" s="52" t="s">
        <v>1298</v>
      </c>
      <c r="D1435" s="53"/>
      <c r="E1435" s="245"/>
      <c r="F1435" s="66"/>
      <c r="G1435" s="66"/>
      <c r="H1435" s="66"/>
      <c r="I1435" s="66"/>
      <c r="J1435" s="66"/>
      <c r="K1435" s="66"/>
      <c r="L1435" s="66"/>
      <c r="M1435" s="66"/>
      <c r="N1435" s="67"/>
      <c r="O1435" s="66"/>
      <c r="P1435" s="66"/>
      <c r="Q1435" s="66"/>
      <c r="R1435" s="66"/>
      <c r="S1435" s="66"/>
      <c r="T1435" s="66"/>
      <c r="U1435" s="66"/>
      <c r="V1435" s="66"/>
      <c r="W1435" s="66"/>
      <c r="X1435" s="66"/>
      <c r="Y1435" s="66"/>
      <c r="Z1435" s="66"/>
      <c r="AA1435" s="66"/>
      <c r="AB1435" s="66"/>
      <c r="AC1435" s="66"/>
      <c r="AD1435" s="66"/>
      <c r="AE1435" s="66"/>
      <c r="AF1435" s="66"/>
      <c r="AG1435" s="66"/>
      <c r="AH1435" s="66"/>
      <c r="AI1435" s="66"/>
      <c r="AJ1435" s="66"/>
      <c r="AK1435" s="66"/>
      <c r="AL1435" s="66"/>
      <c r="AM1435" s="66"/>
      <c r="AN1435" s="66"/>
      <c r="AO1435" s="66"/>
      <c r="AP1435" s="66"/>
      <c r="AQ1435" s="66"/>
      <c r="AR1435" s="68"/>
      <c r="AS1435" s="66"/>
      <c r="AT1435" s="66"/>
      <c r="AU1435" s="66"/>
      <c r="AV1435" s="69"/>
      <c r="AW1435" s="69"/>
      <c r="AX1435" s="69"/>
      <c r="AY1435" s="69"/>
      <c r="AZ1435" s="69"/>
      <c r="BA1435" s="69"/>
      <c r="BB1435" s="69"/>
      <c r="BC1435" s="69"/>
      <c r="BD1435" s="69"/>
      <c r="BE1435" s="69"/>
      <c r="BF1435" s="55"/>
      <c r="BG1435" s="70"/>
      <c r="BH1435" s="63">
        <f t="shared" si="65"/>
        <v>0</v>
      </c>
      <c r="BI1435" s="63"/>
      <c r="BJ1435" s="70"/>
      <c r="BK1435" s="203">
        <f t="shared" si="64"/>
        <v>0</v>
      </c>
      <c r="BL1435" s="63"/>
      <c r="BM1435" s="71"/>
      <c r="BN1435" s="71"/>
      <c r="BO1435" s="71"/>
    </row>
    <row r="1436" spans="2:67" ht="18.95" customHeight="1">
      <c r="B1436" s="51" t="s">
        <v>106</v>
      </c>
      <c r="C1436" s="52" t="s">
        <v>1298</v>
      </c>
      <c r="D1436" s="53"/>
      <c r="E1436" s="198"/>
      <c r="F1436" s="66"/>
      <c r="G1436" s="66"/>
      <c r="H1436" s="66"/>
      <c r="I1436" s="66"/>
      <c r="J1436" s="66"/>
      <c r="K1436" s="66"/>
      <c r="L1436" s="66"/>
      <c r="M1436" s="66"/>
      <c r="N1436" s="67"/>
      <c r="O1436" s="66"/>
      <c r="P1436" s="66"/>
      <c r="Q1436" s="66"/>
      <c r="R1436" s="66"/>
      <c r="S1436" s="66"/>
      <c r="T1436" s="66"/>
      <c r="U1436" s="66"/>
      <c r="V1436" s="66"/>
      <c r="W1436" s="66"/>
      <c r="X1436" s="66"/>
      <c r="Y1436" s="66"/>
      <c r="Z1436" s="66"/>
      <c r="AA1436" s="66"/>
      <c r="AB1436" s="66"/>
      <c r="AC1436" s="66"/>
      <c r="AD1436" s="66"/>
      <c r="AE1436" s="66"/>
      <c r="AF1436" s="66"/>
      <c r="AG1436" s="66"/>
      <c r="AH1436" s="66"/>
      <c r="AI1436" s="66"/>
      <c r="AJ1436" s="66"/>
      <c r="AK1436" s="66"/>
      <c r="AL1436" s="66"/>
      <c r="AM1436" s="66"/>
      <c r="AN1436" s="66"/>
      <c r="AO1436" s="66"/>
      <c r="AP1436" s="66"/>
      <c r="AQ1436" s="66"/>
      <c r="AR1436" s="68"/>
      <c r="AS1436" s="66"/>
      <c r="AT1436" s="66"/>
      <c r="AU1436" s="66"/>
      <c r="AV1436" s="69"/>
      <c r="AW1436" s="69"/>
      <c r="AX1436" s="69"/>
      <c r="AY1436" s="69"/>
      <c r="AZ1436" s="69"/>
      <c r="BA1436" s="69"/>
      <c r="BB1436" s="69"/>
      <c r="BC1436" s="69"/>
      <c r="BD1436" s="69"/>
      <c r="BE1436" s="69"/>
      <c r="BF1436" s="55"/>
      <c r="BG1436" s="70"/>
      <c r="BH1436" s="63">
        <f t="shared" si="65"/>
        <v>0</v>
      </c>
      <c r="BI1436" s="63"/>
      <c r="BJ1436" s="70"/>
      <c r="BK1436" s="203">
        <f t="shared" si="64"/>
        <v>0</v>
      </c>
      <c r="BL1436" s="63"/>
      <c r="BM1436" s="71"/>
      <c r="BN1436" s="71"/>
      <c r="BO1436" s="71"/>
    </row>
    <row r="1437" spans="2:67" ht="18.95" customHeight="1">
      <c r="B1437" s="51" t="s">
        <v>108</v>
      </c>
      <c r="C1437" s="52" t="s">
        <v>1298</v>
      </c>
      <c r="D1437" s="53"/>
      <c r="E1437" s="198"/>
      <c r="F1437" s="66"/>
      <c r="G1437" s="66"/>
      <c r="H1437" s="66"/>
      <c r="I1437" s="66"/>
      <c r="J1437" s="66"/>
      <c r="K1437" s="66"/>
      <c r="L1437" s="66"/>
      <c r="M1437" s="66"/>
      <c r="N1437" s="67"/>
      <c r="O1437" s="66"/>
      <c r="P1437" s="66"/>
      <c r="Q1437" s="66"/>
      <c r="R1437" s="66"/>
      <c r="S1437" s="66"/>
      <c r="T1437" s="66"/>
      <c r="U1437" s="66"/>
      <c r="V1437" s="66"/>
      <c r="W1437" s="66"/>
      <c r="X1437" s="66"/>
      <c r="Y1437" s="66"/>
      <c r="Z1437" s="66"/>
      <c r="AA1437" s="66"/>
      <c r="AB1437" s="66"/>
      <c r="AC1437" s="66"/>
      <c r="AD1437" s="66"/>
      <c r="AE1437" s="66"/>
      <c r="AF1437" s="66"/>
      <c r="AG1437" s="66"/>
      <c r="AH1437" s="66"/>
      <c r="AI1437" s="66"/>
      <c r="AJ1437" s="66"/>
      <c r="AK1437" s="66"/>
      <c r="AL1437" s="66"/>
      <c r="AM1437" s="66"/>
      <c r="AN1437" s="66"/>
      <c r="AO1437" s="66"/>
      <c r="AP1437" s="66"/>
      <c r="AQ1437" s="66"/>
      <c r="AR1437" s="68"/>
      <c r="AS1437" s="66"/>
      <c r="AT1437" s="66"/>
      <c r="AU1437" s="66"/>
      <c r="AV1437" s="69"/>
      <c r="AW1437" s="69"/>
      <c r="AX1437" s="69"/>
      <c r="AY1437" s="69"/>
      <c r="AZ1437" s="69"/>
      <c r="BA1437" s="69"/>
      <c r="BB1437" s="69"/>
      <c r="BC1437" s="69"/>
      <c r="BD1437" s="69"/>
      <c r="BE1437" s="69"/>
      <c r="BF1437" s="55"/>
      <c r="BG1437" s="70"/>
      <c r="BH1437" s="63">
        <f t="shared" si="65"/>
        <v>0</v>
      </c>
      <c r="BI1437" s="63"/>
      <c r="BJ1437" s="70"/>
      <c r="BK1437" s="203">
        <f t="shared" si="64"/>
        <v>0</v>
      </c>
      <c r="BL1437" s="63"/>
      <c r="BM1437" s="71"/>
      <c r="BN1437" s="71"/>
      <c r="BO1437" s="71"/>
    </row>
    <row r="1438" spans="2:67" ht="18.95" customHeight="1">
      <c r="B1438" s="51" t="s">
        <v>110</v>
      </c>
      <c r="C1438" s="52" t="s">
        <v>1298</v>
      </c>
      <c r="D1438" s="53"/>
      <c r="E1438" s="194"/>
      <c r="F1438" s="66"/>
      <c r="G1438" s="66"/>
      <c r="H1438" s="66"/>
      <c r="I1438" s="66"/>
      <c r="J1438" s="66"/>
      <c r="K1438" s="66"/>
      <c r="L1438" s="66"/>
      <c r="M1438" s="66"/>
      <c r="N1438" s="67"/>
      <c r="O1438" s="66"/>
      <c r="P1438" s="66"/>
      <c r="Q1438" s="66"/>
      <c r="R1438" s="66"/>
      <c r="S1438" s="66"/>
      <c r="T1438" s="66"/>
      <c r="U1438" s="66"/>
      <c r="V1438" s="66"/>
      <c r="W1438" s="66"/>
      <c r="X1438" s="66"/>
      <c r="Y1438" s="66"/>
      <c r="Z1438" s="66"/>
      <c r="AA1438" s="66"/>
      <c r="AB1438" s="66"/>
      <c r="AC1438" s="66"/>
      <c r="AD1438" s="66"/>
      <c r="AE1438" s="66"/>
      <c r="AF1438" s="66"/>
      <c r="AG1438" s="66"/>
      <c r="AH1438" s="66"/>
      <c r="AI1438" s="66"/>
      <c r="AJ1438" s="66"/>
      <c r="AK1438" s="66"/>
      <c r="AL1438" s="66"/>
      <c r="AM1438" s="66"/>
      <c r="AN1438" s="66"/>
      <c r="AO1438" s="66"/>
      <c r="AP1438" s="66"/>
      <c r="AQ1438" s="66"/>
      <c r="AR1438" s="68"/>
      <c r="AS1438" s="66"/>
      <c r="AT1438" s="66"/>
      <c r="AU1438" s="66"/>
      <c r="AV1438" s="69"/>
      <c r="AW1438" s="69"/>
      <c r="AX1438" s="69"/>
      <c r="AY1438" s="69"/>
      <c r="AZ1438" s="69"/>
      <c r="BA1438" s="69"/>
      <c r="BB1438" s="69"/>
      <c r="BC1438" s="69"/>
      <c r="BD1438" s="69"/>
      <c r="BE1438" s="69"/>
      <c r="BF1438" s="55"/>
      <c r="BG1438" s="70"/>
      <c r="BH1438" s="63">
        <f t="shared" si="65"/>
        <v>0</v>
      </c>
      <c r="BI1438" s="63"/>
      <c r="BJ1438" s="70"/>
      <c r="BK1438" s="203">
        <f t="shared" si="64"/>
        <v>0</v>
      </c>
      <c r="BL1438" s="63"/>
      <c r="BM1438" s="71"/>
      <c r="BN1438" s="71"/>
      <c r="BO1438" s="71"/>
    </row>
    <row r="1439" spans="2:67" ht="18.95" customHeight="1">
      <c r="B1439" s="51" t="s">
        <v>112</v>
      </c>
      <c r="C1439" s="52" t="s">
        <v>1298</v>
      </c>
      <c r="D1439" s="53"/>
      <c r="E1439" s="200"/>
      <c r="F1439" s="66"/>
      <c r="G1439" s="66"/>
      <c r="H1439" s="66"/>
      <c r="I1439" s="66"/>
      <c r="J1439" s="66"/>
      <c r="K1439" s="66"/>
      <c r="L1439" s="66"/>
      <c r="M1439" s="66"/>
      <c r="N1439" s="67"/>
      <c r="O1439" s="66"/>
      <c r="P1439" s="66"/>
      <c r="Q1439" s="66"/>
      <c r="R1439" s="66"/>
      <c r="S1439" s="66"/>
      <c r="T1439" s="66"/>
      <c r="U1439" s="66"/>
      <c r="V1439" s="66"/>
      <c r="W1439" s="66"/>
      <c r="X1439" s="66"/>
      <c r="Y1439" s="66"/>
      <c r="Z1439" s="66"/>
      <c r="AA1439" s="66"/>
      <c r="AB1439" s="66"/>
      <c r="AC1439" s="66"/>
      <c r="AD1439" s="66"/>
      <c r="AE1439" s="66"/>
      <c r="AF1439" s="66"/>
      <c r="AG1439" s="66"/>
      <c r="AH1439" s="66"/>
      <c r="AI1439" s="66"/>
      <c r="AJ1439" s="66"/>
      <c r="AK1439" s="66"/>
      <c r="AL1439" s="66"/>
      <c r="AM1439" s="66"/>
      <c r="AN1439" s="66"/>
      <c r="AO1439" s="66"/>
      <c r="AP1439" s="66"/>
      <c r="AQ1439" s="66"/>
      <c r="AR1439" s="68"/>
      <c r="AS1439" s="66"/>
      <c r="AT1439" s="66"/>
      <c r="AU1439" s="66"/>
      <c r="AV1439" s="69"/>
      <c r="AW1439" s="69"/>
      <c r="AX1439" s="69"/>
      <c r="AY1439" s="69"/>
      <c r="AZ1439" s="69"/>
      <c r="BA1439" s="69"/>
      <c r="BB1439" s="69"/>
      <c r="BC1439" s="69"/>
      <c r="BD1439" s="69"/>
      <c r="BE1439" s="69"/>
      <c r="BF1439" s="55"/>
      <c r="BG1439" s="70"/>
      <c r="BH1439" s="63">
        <f t="shared" si="65"/>
        <v>0</v>
      </c>
      <c r="BI1439" s="63"/>
      <c r="BJ1439" s="70"/>
      <c r="BK1439" s="203">
        <f t="shared" si="64"/>
        <v>0</v>
      </c>
      <c r="BL1439" s="63"/>
      <c r="BM1439" s="71"/>
      <c r="BN1439" s="71"/>
      <c r="BO1439" s="71"/>
    </row>
    <row r="1440" spans="2:67" ht="18.95" customHeight="1">
      <c r="B1440" s="51" t="s">
        <v>114</v>
      </c>
      <c r="C1440" s="52" t="s">
        <v>1298</v>
      </c>
      <c r="D1440" s="53"/>
      <c r="E1440" s="194"/>
      <c r="F1440" s="66"/>
      <c r="G1440" s="66"/>
      <c r="H1440" s="66"/>
      <c r="I1440" s="66"/>
      <c r="J1440" s="66"/>
      <c r="K1440" s="66"/>
      <c r="L1440" s="66"/>
      <c r="M1440" s="66"/>
      <c r="N1440" s="67"/>
      <c r="O1440" s="66"/>
      <c r="P1440" s="66"/>
      <c r="Q1440" s="66"/>
      <c r="R1440" s="66"/>
      <c r="S1440" s="66"/>
      <c r="T1440" s="66"/>
      <c r="U1440" s="66"/>
      <c r="V1440" s="66"/>
      <c r="W1440" s="66"/>
      <c r="X1440" s="66"/>
      <c r="Y1440" s="66"/>
      <c r="Z1440" s="66"/>
      <c r="AA1440" s="66"/>
      <c r="AB1440" s="66"/>
      <c r="AC1440" s="66"/>
      <c r="AD1440" s="66"/>
      <c r="AE1440" s="66"/>
      <c r="AF1440" s="66"/>
      <c r="AG1440" s="66"/>
      <c r="AH1440" s="66"/>
      <c r="AI1440" s="66"/>
      <c r="AJ1440" s="66"/>
      <c r="AK1440" s="66"/>
      <c r="AL1440" s="66"/>
      <c r="AM1440" s="66"/>
      <c r="AN1440" s="66"/>
      <c r="AO1440" s="66"/>
      <c r="AP1440" s="66"/>
      <c r="AQ1440" s="66"/>
      <c r="AR1440" s="68"/>
      <c r="AS1440" s="66"/>
      <c r="AT1440" s="66"/>
      <c r="AU1440" s="66"/>
      <c r="AV1440" s="69"/>
      <c r="AW1440" s="69"/>
      <c r="AX1440" s="69"/>
      <c r="AY1440" s="69"/>
      <c r="AZ1440" s="69"/>
      <c r="BA1440" s="69"/>
      <c r="BB1440" s="69"/>
      <c r="BC1440" s="69"/>
      <c r="BD1440" s="69"/>
      <c r="BE1440" s="69"/>
      <c r="BF1440" s="55"/>
      <c r="BG1440" s="70"/>
      <c r="BH1440" s="63">
        <f t="shared" si="65"/>
        <v>0</v>
      </c>
      <c r="BI1440" s="63"/>
      <c r="BJ1440" s="70"/>
      <c r="BK1440" s="203">
        <f t="shared" si="64"/>
        <v>0</v>
      </c>
      <c r="BL1440" s="63"/>
      <c r="BM1440" s="71"/>
      <c r="BN1440" s="71"/>
      <c r="BO1440" s="71"/>
    </row>
    <row r="1441" spans="2:67" ht="18.95" customHeight="1">
      <c r="B1441" s="51" t="s">
        <v>116</v>
      </c>
      <c r="C1441" s="52" t="s">
        <v>1298</v>
      </c>
      <c r="D1441" s="53"/>
      <c r="E1441" s="194"/>
      <c r="F1441" s="66"/>
      <c r="G1441" s="66"/>
      <c r="H1441" s="66"/>
      <c r="I1441" s="66"/>
      <c r="J1441" s="66"/>
      <c r="K1441" s="66"/>
      <c r="L1441" s="66"/>
      <c r="M1441" s="66"/>
      <c r="N1441" s="67"/>
      <c r="O1441" s="66"/>
      <c r="P1441" s="66"/>
      <c r="Q1441" s="66"/>
      <c r="R1441" s="66"/>
      <c r="S1441" s="66"/>
      <c r="T1441" s="66"/>
      <c r="U1441" s="66"/>
      <c r="V1441" s="66"/>
      <c r="W1441" s="66"/>
      <c r="X1441" s="66"/>
      <c r="Y1441" s="66"/>
      <c r="Z1441" s="66"/>
      <c r="AA1441" s="66"/>
      <c r="AB1441" s="66"/>
      <c r="AC1441" s="66"/>
      <c r="AD1441" s="66"/>
      <c r="AE1441" s="66"/>
      <c r="AF1441" s="66"/>
      <c r="AG1441" s="66"/>
      <c r="AH1441" s="66"/>
      <c r="AI1441" s="66"/>
      <c r="AJ1441" s="66"/>
      <c r="AK1441" s="66"/>
      <c r="AL1441" s="66"/>
      <c r="AM1441" s="66"/>
      <c r="AN1441" s="66"/>
      <c r="AO1441" s="66"/>
      <c r="AP1441" s="66"/>
      <c r="AQ1441" s="66"/>
      <c r="AR1441" s="68"/>
      <c r="AS1441" s="66"/>
      <c r="AT1441" s="66"/>
      <c r="AU1441" s="66"/>
      <c r="AV1441" s="69"/>
      <c r="AW1441" s="69"/>
      <c r="AX1441" s="69"/>
      <c r="AY1441" s="69"/>
      <c r="AZ1441" s="69"/>
      <c r="BA1441" s="69"/>
      <c r="BB1441" s="69"/>
      <c r="BC1441" s="69"/>
      <c r="BD1441" s="69"/>
      <c r="BE1441" s="69"/>
      <c r="BF1441" s="55"/>
      <c r="BG1441" s="70"/>
      <c r="BH1441" s="63">
        <f t="shared" si="65"/>
        <v>0</v>
      </c>
      <c r="BI1441" s="63"/>
      <c r="BJ1441" s="70"/>
      <c r="BK1441" s="203">
        <f t="shared" si="64"/>
        <v>0</v>
      </c>
      <c r="BL1441" s="63"/>
      <c r="BM1441" s="71"/>
      <c r="BN1441" s="71"/>
      <c r="BO1441" s="71"/>
    </row>
    <row r="1442" spans="2:67" ht="18.95" customHeight="1">
      <c r="B1442" s="51" t="s">
        <v>118</v>
      </c>
      <c r="C1442" s="52" t="s">
        <v>1298</v>
      </c>
      <c r="D1442" s="53"/>
      <c r="E1442" s="194"/>
      <c r="F1442" s="66"/>
      <c r="G1442" s="66"/>
      <c r="H1442" s="66"/>
      <c r="I1442" s="66"/>
      <c r="J1442" s="66"/>
      <c r="K1442" s="66"/>
      <c r="L1442" s="66"/>
      <c r="M1442" s="66"/>
      <c r="N1442" s="67"/>
      <c r="O1442" s="66"/>
      <c r="P1442" s="66"/>
      <c r="Q1442" s="66"/>
      <c r="R1442" s="66"/>
      <c r="S1442" s="66"/>
      <c r="T1442" s="66"/>
      <c r="U1442" s="66"/>
      <c r="V1442" s="66"/>
      <c r="W1442" s="66"/>
      <c r="X1442" s="66"/>
      <c r="Y1442" s="66"/>
      <c r="Z1442" s="66"/>
      <c r="AA1442" s="66"/>
      <c r="AB1442" s="66"/>
      <c r="AC1442" s="66"/>
      <c r="AD1442" s="66"/>
      <c r="AE1442" s="66"/>
      <c r="AF1442" s="66"/>
      <c r="AG1442" s="66"/>
      <c r="AH1442" s="66"/>
      <c r="AI1442" s="66"/>
      <c r="AJ1442" s="66"/>
      <c r="AK1442" s="66"/>
      <c r="AL1442" s="66"/>
      <c r="AM1442" s="66"/>
      <c r="AN1442" s="66"/>
      <c r="AO1442" s="66"/>
      <c r="AP1442" s="66"/>
      <c r="AQ1442" s="66"/>
      <c r="AR1442" s="68"/>
      <c r="AS1442" s="66"/>
      <c r="AT1442" s="66"/>
      <c r="AU1442" s="66"/>
      <c r="AV1442" s="69"/>
      <c r="AW1442" s="69"/>
      <c r="AX1442" s="69"/>
      <c r="AY1442" s="69"/>
      <c r="AZ1442" s="69"/>
      <c r="BA1442" s="69"/>
      <c r="BB1442" s="69"/>
      <c r="BC1442" s="69"/>
      <c r="BD1442" s="69"/>
      <c r="BE1442" s="69"/>
      <c r="BF1442" s="55"/>
      <c r="BG1442" s="70"/>
      <c r="BH1442" s="63">
        <f t="shared" si="65"/>
        <v>0</v>
      </c>
      <c r="BI1442" s="63"/>
      <c r="BJ1442" s="70"/>
      <c r="BK1442" s="203">
        <f t="shared" si="64"/>
        <v>0</v>
      </c>
      <c r="BL1442" s="63"/>
      <c r="BM1442" s="71"/>
      <c r="BN1442" s="71"/>
      <c r="BO1442" s="71"/>
    </row>
    <row r="1443" spans="2:67" ht="18.95" customHeight="1">
      <c r="B1443" s="51" t="s">
        <v>120</v>
      </c>
      <c r="C1443" s="52" t="s">
        <v>1298</v>
      </c>
      <c r="D1443" s="53"/>
      <c r="E1443" s="194"/>
      <c r="F1443" s="66"/>
      <c r="G1443" s="66"/>
      <c r="H1443" s="66"/>
      <c r="I1443" s="66"/>
      <c r="J1443" s="66"/>
      <c r="K1443" s="66"/>
      <c r="L1443" s="66"/>
      <c r="M1443" s="66"/>
      <c r="N1443" s="67"/>
      <c r="O1443" s="66"/>
      <c r="P1443" s="66"/>
      <c r="Q1443" s="66"/>
      <c r="R1443" s="66"/>
      <c r="S1443" s="66"/>
      <c r="T1443" s="66"/>
      <c r="U1443" s="66"/>
      <c r="V1443" s="66"/>
      <c r="W1443" s="66"/>
      <c r="X1443" s="66"/>
      <c r="Y1443" s="66"/>
      <c r="Z1443" s="66"/>
      <c r="AA1443" s="66"/>
      <c r="AB1443" s="66"/>
      <c r="AC1443" s="66"/>
      <c r="AD1443" s="66"/>
      <c r="AE1443" s="66"/>
      <c r="AF1443" s="66"/>
      <c r="AG1443" s="66"/>
      <c r="AH1443" s="66"/>
      <c r="AI1443" s="66"/>
      <c r="AJ1443" s="66"/>
      <c r="AK1443" s="66"/>
      <c r="AL1443" s="66"/>
      <c r="AM1443" s="66"/>
      <c r="AN1443" s="66"/>
      <c r="AO1443" s="66"/>
      <c r="AP1443" s="66"/>
      <c r="AQ1443" s="66"/>
      <c r="AR1443" s="68"/>
      <c r="AS1443" s="66"/>
      <c r="AT1443" s="66"/>
      <c r="AU1443" s="66"/>
      <c r="AV1443" s="69"/>
      <c r="AW1443" s="69"/>
      <c r="AX1443" s="69"/>
      <c r="AY1443" s="69"/>
      <c r="AZ1443" s="69"/>
      <c r="BA1443" s="69"/>
      <c r="BB1443" s="69"/>
      <c r="BC1443" s="69"/>
      <c r="BD1443" s="69"/>
      <c r="BE1443" s="69"/>
      <c r="BF1443" s="55"/>
      <c r="BG1443" s="70"/>
      <c r="BH1443" s="63">
        <f t="shared" si="65"/>
        <v>0</v>
      </c>
      <c r="BI1443" s="63"/>
      <c r="BJ1443" s="70"/>
      <c r="BK1443" s="203">
        <f t="shared" si="64"/>
        <v>0</v>
      </c>
      <c r="BL1443" s="63"/>
      <c r="BM1443" s="71"/>
      <c r="BN1443" s="71"/>
      <c r="BO1443" s="71"/>
    </row>
    <row r="1444" spans="2:67" ht="18.95" customHeight="1">
      <c r="B1444" s="51" t="s">
        <v>122</v>
      </c>
      <c r="C1444" s="52" t="s">
        <v>1298</v>
      </c>
      <c r="D1444" s="53"/>
      <c r="E1444" s="194"/>
      <c r="F1444" s="66"/>
      <c r="G1444" s="66"/>
      <c r="H1444" s="66"/>
      <c r="I1444" s="66"/>
      <c r="J1444" s="66"/>
      <c r="K1444" s="66"/>
      <c r="L1444" s="66"/>
      <c r="M1444" s="66"/>
      <c r="N1444" s="67"/>
      <c r="O1444" s="66"/>
      <c r="P1444" s="66"/>
      <c r="Q1444" s="66"/>
      <c r="R1444" s="66"/>
      <c r="S1444" s="66"/>
      <c r="T1444" s="66"/>
      <c r="U1444" s="66"/>
      <c r="V1444" s="66"/>
      <c r="W1444" s="66"/>
      <c r="X1444" s="66"/>
      <c r="Y1444" s="66"/>
      <c r="Z1444" s="66"/>
      <c r="AA1444" s="66"/>
      <c r="AB1444" s="66"/>
      <c r="AC1444" s="66"/>
      <c r="AD1444" s="66"/>
      <c r="AE1444" s="66"/>
      <c r="AF1444" s="66"/>
      <c r="AG1444" s="66"/>
      <c r="AH1444" s="66"/>
      <c r="AI1444" s="66"/>
      <c r="AJ1444" s="66"/>
      <c r="AK1444" s="66"/>
      <c r="AL1444" s="75"/>
      <c r="AM1444" s="66"/>
      <c r="AN1444" s="66"/>
      <c r="AO1444" s="66"/>
      <c r="AP1444" s="66"/>
      <c r="AQ1444" s="66"/>
      <c r="AR1444" s="68"/>
      <c r="AS1444" s="66"/>
      <c r="AT1444" s="66"/>
      <c r="AU1444" s="66"/>
      <c r="AV1444" s="69"/>
      <c r="AW1444" s="69"/>
      <c r="AX1444" s="69"/>
      <c r="AY1444" s="69"/>
      <c r="AZ1444" s="69"/>
      <c r="BA1444" s="69"/>
      <c r="BB1444" s="69"/>
      <c r="BC1444" s="69"/>
      <c r="BD1444" s="69"/>
      <c r="BE1444" s="69"/>
      <c r="BF1444" s="55"/>
      <c r="BG1444" s="70"/>
      <c r="BH1444" s="63">
        <f t="shared" si="65"/>
        <v>0</v>
      </c>
      <c r="BI1444" s="63"/>
      <c r="BJ1444" s="70"/>
      <c r="BK1444" s="203">
        <f t="shared" si="64"/>
        <v>0</v>
      </c>
      <c r="BL1444" s="63"/>
      <c r="BM1444" s="71"/>
      <c r="BN1444" s="71"/>
      <c r="BO1444" s="71"/>
    </row>
    <row r="1445" spans="2:67" ht="18.95" customHeight="1">
      <c r="B1445" s="51" t="s">
        <v>124</v>
      </c>
      <c r="C1445" s="52" t="s">
        <v>1298</v>
      </c>
      <c r="D1445" s="53"/>
      <c r="E1445" s="194"/>
      <c r="F1445" s="66"/>
      <c r="G1445" s="66"/>
      <c r="H1445" s="66"/>
      <c r="I1445" s="66"/>
      <c r="J1445" s="66"/>
      <c r="K1445" s="66"/>
      <c r="L1445" s="66"/>
      <c r="M1445" s="66"/>
      <c r="N1445" s="67"/>
      <c r="O1445" s="66"/>
      <c r="P1445" s="66"/>
      <c r="Q1445" s="66"/>
      <c r="R1445" s="66"/>
      <c r="S1445" s="66"/>
      <c r="T1445" s="66"/>
      <c r="U1445" s="66"/>
      <c r="V1445" s="66"/>
      <c r="W1445" s="66"/>
      <c r="X1445" s="66"/>
      <c r="Y1445" s="66"/>
      <c r="Z1445" s="66"/>
      <c r="AA1445" s="66"/>
      <c r="AB1445" s="66"/>
      <c r="AC1445" s="66"/>
      <c r="AD1445" s="66"/>
      <c r="AE1445" s="66"/>
      <c r="AF1445" s="66"/>
      <c r="AG1445" s="66"/>
      <c r="AH1445" s="66"/>
      <c r="AI1445" s="66"/>
      <c r="AJ1445" s="66"/>
      <c r="AK1445" s="66"/>
      <c r="AL1445" s="75"/>
      <c r="AM1445" s="66"/>
      <c r="AN1445" s="66"/>
      <c r="AO1445" s="66"/>
      <c r="AP1445" s="66"/>
      <c r="AQ1445" s="66"/>
      <c r="AR1445" s="68"/>
      <c r="AS1445" s="66"/>
      <c r="AT1445" s="66"/>
      <c r="AU1445" s="66"/>
      <c r="AV1445" s="69"/>
      <c r="AW1445" s="69"/>
      <c r="AX1445" s="69"/>
      <c r="AY1445" s="69"/>
      <c r="AZ1445" s="69"/>
      <c r="BA1445" s="69"/>
      <c r="BB1445" s="69"/>
      <c r="BC1445" s="69"/>
      <c r="BD1445" s="69"/>
      <c r="BE1445" s="69"/>
      <c r="BF1445" s="55"/>
      <c r="BG1445" s="70"/>
      <c r="BH1445" s="63">
        <f t="shared" si="65"/>
        <v>0</v>
      </c>
      <c r="BI1445" s="63"/>
      <c r="BJ1445" s="70"/>
      <c r="BK1445" s="203">
        <f t="shared" si="64"/>
        <v>0</v>
      </c>
      <c r="BL1445" s="63"/>
      <c r="BM1445" s="71"/>
      <c r="BN1445" s="71"/>
      <c r="BO1445" s="71"/>
    </row>
    <row r="1446" spans="2:67" ht="18.95" customHeight="1">
      <c r="B1446" s="51" t="s">
        <v>126</v>
      </c>
      <c r="C1446" s="52" t="s">
        <v>1298</v>
      </c>
      <c r="D1446" s="53"/>
      <c r="E1446" s="214"/>
      <c r="F1446" s="66"/>
      <c r="G1446" s="66"/>
      <c r="H1446" s="66"/>
      <c r="I1446" s="66"/>
      <c r="J1446" s="66"/>
      <c r="K1446" s="66"/>
      <c r="L1446" s="66"/>
      <c r="M1446" s="66"/>
      <c r="N1446" s="67"/>
      <c r="O1446" s="66"/>
      <c r="P1446" s="66"/>
      <c r="Q1446" s="66"/>
      <c r="R1446" s="66"/>
      <c r="S1446" s="66"/>
      <c r="T1446" s="66"/>
      <c r="U1446" s="66"/>
      <c r="V1446" s="66"/>
      <c r="W1446" s="66"/>
      <c r="X1446" s="66"/>
      <c r="Y1446" s="66"/>
      <c r="Z1446" s="66"/>
      <c r="AA1446" s="66"/>
      <c r="AB1446" s="66"/>
      <c r="AC1446" s="66"/>
      <c r="AD1446" s="66"/>
      <c r="AE1446" s="66"/>
      <c r="AF1446" s="66"/>
      <c r="AG1446" s="66"/>
      <c r="AH1446" s="66"/>
      <c r="AI1446" s="66"/>
      <c r="AJ1446" s="66"/>
      <c r="AK1446" s="66"/>
      <c r="AL1446" s="66"/>
      <c r="AM1446" s="66"/>
      <c r="AN1446" s="66"/>
      <c r="AO1446" s="66"/>
      <c r="AP1446" s="66"/>
      <c r="AQ1446" s="66"/>
      <c r="AR1446" s="68"/>
      <c r="AS1446" s="66"/>
      <c r="AT1446" s="66"/>
      <c r="AU1446" s="66"/>
      <c r="AV1446" s="69"/>
      <c r="AW1446" s="69"/>
      <c r="AX1446" s="69"/>
      <c r="AY1446" s="69"/>
      <c r="AZ1446" s="69"/>
      <c r="BA1446" s="69"/>
      <c r="BB1446" s="69"/>
      <c r="BC1446" s="69"/>
      <c r="BD1446" s="69"/>
      <c r="BE1446" s="69"/>
      <c r="BF1446" s="55"/>
      <c r="BG1446" s="70"/>
      <c r="BH1446" s="63">
        <f t="shared" si="65"/>
        <v>0</v>
      </c>
      <c r="BI1446" s="63"/>
      <c r="BJ1446" s="70"/>
      <c r="BK1446" s="203">
        <f t="shared" si="64"/>
        <v>0</v>
      </c>
      <c r="BL1446" s="63"/>
      <c r="BM1446" s="71"/>
      <c r="BN1446" s="65"/>
      <c r="BO1446" s="65"/>
    </row>
    <row r="1447" spans="2:67" ht="18.95" customHeight="1">
      <c r="B1447" s="51" t="s">
        <v>128</v>
      </c>
      <c r="C1447" s="52" t="s">
        <v>1298</v>
      </c>
      <c r="D1447" s="53"/>
      <c r="E1447" s="214"/>
      <c r="F1447" s="55"/>
      <c r="G1447" s="66"/>
      <c r="H1447" s="66"/>
      <c r="I1447" s="66"/>
      <c r="J1447" s="66"/>
      <c r="K1447" s="66"/>
      <c r="L1447" s="66"/>
      <c r="M1447" s="66"/>
      <c r="N1447" s="67"/>
      <c r="O1447" s="66"/>
      <c r="P1447" s="66"/>
      <c r="Q1447" s="66"/>
      <c r="R1447" s="66"/>
      <c r="S1447" s="66"/>
      <c r="T1447" s="66"/>
      <c r="U1447" s="66"/>
      <c r="V1447" s="66"/>
      <c r="W1447" s="66"/>
      <c r="X1447" s="66"/>
      <c r="Y1447" s="66"/>
      <c r="Z1447" s="66"/>
      <c r="AA1447" s="66"/>
      <c r="AB1447" s="66"/>
      <c r="AC1447" s="66"/>
      <c r="AD1447" s="66"/>
      <c r="AE1447" s="66"/>
      <c r="AF1447" s="66"/>
      <c r="AG1447" s="66"/>
      <c r="AH1447" s="66"/>
      <c r="AI1447" s="66"/>
      <c r="AJ1447" s="66"/>
      <c r="AK1447" s="66"/>
      <c r="AL1447" s="75"/>
      <c r="AM1447" s="66"/>
      <c r="AN1447" s="66"/>
      <c r="AO1447" s="66"/>
      <c r="AP1447" s="66"/>
      <c r="AQ1447" s="66"/>
      <c r="AR1447" s="68"/>
      <c r="AS1447" s="66"/>
      <c r="AT1447" s="66"/>
      <c r="AU1447" s="66"/>
      <c r="AV1447" s="69"/>
      <c r="AW1447" s="69"/>
      <c r="AX1447" s="69"/>
      <c r="AY1447" s="69"/>
      <c r="AZ1447" s="69"/>
      <c r="BA1447" s="69"/>
      <c r="BB1447" s="69"/>
      <c r="BC1447" s="69"/>
      <c r="BD1447" s="69"/>
      <c r="BE1447" s="69"/>
      <c r="BF1447" s="55"/>
      <c r="BG1447" s="70"/>
      <c r="BH1447" s="63">
        <f t="shared" si="65"/>
        <v>0</v>
      </c>
      <c r="BI1447" s="63"/>
      <c r="BJ1447" s="70"/>
      <c r="BK1447" s="203">
        <f t="shared" si="64"/>
        <v>0</v>
      </c>
      <c r="BL1447" s="63"/>
      <c r="BM1447" s="71"/>
      <c r="BN1447" s="65"/>
      <c r="BO1447" s="65"/>
    </row>
    <row r="1448" spans="2:67" ht="18.95" customHeight="1">
      <c r="B1448" s="51" t="s">
        <v>130</v>
      </c>
      <c r="C1448" s="52" t="s">
        <v>1298</v>
      </c>
      <c r="D1448" s="53"/>
      <c r="E1448" s="214"/>
      <c r="F1448" s="66"/>
      <c r="G1448" s="66"/>
      <c r="H1448" s="66"/>
      <c r="I1448" s="66"/>
      <c r="J1448" s="66"/>
      <c r="K1448" s="66"/>
      <c r="L1448" s="66"/>
      <c r="M1448" s="66"/>
      <c r="N1448" s="67"/>
      <c r="O1448" s="66"/>
      <c r="P1448" s="66"/>
      <c r="Q1448" s="66"/>
      <c r="R1448" s="66"/>
      <c r="S1448" s="66"/>
      <c r="T1448" s="66"/>
      <c r="U1448" s="66"/>
      <c r="V1448" s="66"/>
      <c r="W1448" s="66"/>
      <c r="X1448" s="66"/>
      <c r="Y1448" s="66"/>
      <c r="Z1448" s="66"/>
      <c r="AA1448" s="66"/>
      <c r="AB1448" s="66"/>
      <c r="AC1448" s="66"/>
      <c r="AD1448" s="66"/>
      <c r="AE1448" s="66"/>
      <c r="AF1448" s="66"/>
      <c r="AG1448" s="66"/>
      <c r="AH1448" s="66"/>
      <c r="AI1448" s="66"/>
      <c r="AJ1448" s="66"/>
      <c r="AK1448" s="66"/>
      <c r="AL1448" s="66"/>
      <c r="AM1448" s="66"/>
      <c r="AN1448" s="66"/>
      <c r="AO1448" s="66"/>
      <c r="AP1448" s="66"/>
      <c r="AQ1448" s="66"/>
      <c r="AR1448" s="68"/>
      <c r="AS1448" s="66"/>
      <c r="AT1448" s="66"/>
      <c r="AU1448" s="66"/>
      <c r="AV1448" s="69"/>
      <c r="AW1448" s="69"/>
      <c r="AX1448" s="69"/>
      <c r="AY1448" s="69"/>
      <c r="AZ1448" s="69"/>
      <c r="BA1448" s="69"/>
      <c r="BB1448" s="69"/>
      <c r="BC1448" s="69"/>
      <c r="BD1448" s="69"/>
      <c r="BE1448" s="69"/>
      <c r="BF1448" s="55"/>
      <c r="BG1448" s="70"/>
      <c r="BH1448" s="63">
        <f t="shared" si="65"/>
        <v>0</v>
      </c>
      <c r="BI1448" s="63"/>
      <c r="BJ1448" s="70"/>
      <c r="BK1448" s="203">
        <f t="shared" si="64"/>
        <v>0</v>
      </c>
      <c r="BL1448" s="63"/>
      <c r="BM1448" s="71"/>
      <c r="BN1448" s="71"/>
      <c r="BO1448" s="71"/>
    </row>
    <row r="1449" spans="2:67" ht="18.95" customHeight="1">
      <c r="B1449" s="51" t="s">
        <v>132</v>
      </c>
      <c r="C1449" s="52" t="s">
        <v>1298</v>
      </c>
      <c r="D1449" s="53"/>
      <c r="E1449" s="246"/>
      <c r="F1449" s="55"/>
      <c r="G1449" s="55"/>
      <c r="H1449" s="55"/>
      <c r="I1449" s="55"/>
      <c r="J1449" s="55"/>
      <c r="K1449" s="55"/>
      <c r="L1449" s="55"/>
      <c r="M1449" s="55"/>
      <c r="N1449" s="56"/>
      <c r="O1449" s="55"/>
      <c r="P1449" s="55"/>
      <c r="Q1449" s="55"/>
      <c r="R1449" s="55"/>
      <c r="S1449" s="55"/>
      <c r="T1449" s="55"/>
      <c r="U1449" s="55"/>
      <c r="V1449" s="55"/>
      <c r="W1449" s="55"/>
      <c r="X1449" s="55"/>
      <c r="Y1449" s="55"/>
      <c r="Z1449" s="55"/>
      <c r="AA1449" s="55"/>
      <c r="AB1449" s="55"/>
      <c r="AC1449" s="55"/>
      <c r="AD1449" s="55"/>
      <c r="AE1449" s="55"/>
      <c r="AF1449" s="55"/>
      <c r="AG1449" s="55"/>
      <c r="AH1449" s="55"/>
      <c r="AI1449" s="55"/>
      <c r="AJ1449" s="55"/>
      <c r="AK1449" s="55"/>
      <c r="AL1449" s="55"/>
      <c r="AM1449" s="55"/>
      <c r="AN1449" s="55"/>
      <c r="AO1449" s="55"/>
      <c r="AP1449" s="55"/>
      <c r="AQ1449" s="55"/>
      <c r="AR1449" s="76"/>
      <c r="AS1449" s="55"/>
      <c r="AT1449" s="55"/>
      <c r="AU1449" s="55"/>
      <c r="AV1449" s="55"/>
      <c r="AW1449" s="55"/>
      <c r="AX1449" s="55"/>
      <c r="AY1449" s="55"/>
      <c r="AZ1449" s="55"/>
      <c r="BA1449" s="55"/>
      <c r="BB1449" s="55"/>
      <c r="BC1449" s="55"/>
      <c r="BD1449" s="55"/>
      <c r="BE1449" s="55"/>
      <c r="BF1449" s="55"/>
      <c r="BG1449" s="70"/>
      <c r="BH1449" s="63">
        <f t="shared" si="65"/>
        <v>0</v>
      </c>
      <c r="BI1449" s="63"/>
      <c r="BJ1449" s="70"/>
      <c r="BK1449" s="203">
        <f t="shared" si="64"/>
        <v>0</v>
      </c>
      <c r="BL1449" s="63"/>
      <c r="BM1449" s="71"/>
      <c r="BN1449" s="65"/>
      <c r="BO1449" s="65"/>
    </row>
  </sheetData>
  <mergeCells count="302">
    <mergeCell ref="B1415:E1417"/>
    <mergeCell ref="F1416:X1416"/>
    <mergeCell ref="BF1416:BO1416"/>
    <mergeCell ref="G1417:X1417"/>
    <mergeCell ref="B1418:B1419"/>
    <mergeCell ref="C1418:D1418"/>
    <mergeCell ref="F1418:BE1418"/>
    <mergeCell ref="BF1418:BI1418"/>
    <mergeCell ref="BJ1418:BK1418"/>
    <mergeCell ref="BN1418:BO1418"/>
    <mergeCell ref="B1368:E1370"/>
    <mergeCell ref="F1369:X1369"/>
    <mergeCell ref="BF1369:BO1369"/>
    <mergeCell ref="G1370:X1370"/>
    <mergeCell ref="B1371:B1372"/>
    <mergeCell ref="C1371:D1371"/>
    <mergeCell ref="F1371:BE1371"/>
    <mergeCell ref="BF1371:BI1371"/>
    <mergeCell ref="BJ1371:BK1371"/>
    <mergeCell ref="BN1371:BO1371"/>
    <mergeCell ref="B1321:E1323"/>
    <mergeCell ref="F1322:X1322"/>
    <mergeCell ref="BF1322:BO1322"/>
    <mergeCell ref="G1323:X1323"/>
    <mergeCell ref="B1324:B1325"/>
    <mergeCell ref="C1324:D1324"/>
    <mergeCell ref="F1324:BE1324"/>
    <mergeCell ref="BF1324:BI1324"/>
    <mergeCell ref="BJ1324:BK1324"/>
    <mergeCell ref="BN1324:BO1324"/>
    <mergeCell ref="B1274:E1276"/>
    <mergeCell ref="F1275:X1275"/>
    <mergeCell ref="BF1275:BO1275"/>
    <mergeCell ref="G1276:X1276"/>
    <mergeCell ref="B1277:B1278"/>
    <mergeCell ref="C1277:D1277"/>
    <mergeCell ref="F1277:BE1277"/>
    <mergeCell ref="BF1277:BI1277"/>
    <mergeCell ref="BJ1277:BK1277"/>
    <mergeCell ref="BN1277:BO1277"/>
    <mergeCell ref="B1227:E1229"/>
    <mergeCell ref="F1228:X1228"/>
    <mergeCell ref="BF1228:BO1228"/>
    <mergeCell ref="G1229:X1229"/>
    <mergeCell ref="B1230:B1231"/>
    <mergeCell ref="C1230:D1230"/>
    <mergeCell ref="F1230:BE1230"/>
    <mergeCell ref="BF1230:BI1230"/>
    <mergeCell ref="BJ1230:BK1230"/>
    <mergeCell ref="BN1230:BO1230"/>
    <mergeCell ref="B1181:E1183"/>
    <mergeCell ref="F1182:AT1182"/>
    <mergeCell ref="BF1182:BO1182"/>
    <mergeCell ref="G1183:X1183"/>
    <mergeCell ref="B1184:B1185"/>
    <mergeCell ref="C1184:D1184"/>
    <mergeCell ref="F1184:BE1184"/>
    <mergeCell ref="BF1184:BI1184"/>
    <mergeCell ref="BJ1184:BK1184"/>
    <mergeCell ref="BN1184:BO1184"/>
    <mergeCell ref="B1134:E1136"/>
    <mergeCell ref="F1135:AT1135"/>
    <mergeCell ref="BF1135:BO1135"/>
    <mergeCell ref="G1136:X1136"/>
    <mergeCell ref="B1137:B1138"/>
    <mergeCell ref="C1137:D1137"/>
    <mergeCell ref="F1137:BE1137"/>
    <mergeCell ref="BF1137:BI1137"/>
    <mergeCell ref="BJ1137:BK1137"/>
    <mergeCell ref="BN1137:BO1137"/>
    <mergeCell ref="B1087:E1089"/>
    <mergeCell ref="F1088:AT1088"/>
    <mergeCell ref="BF1088:BO1088"/>
    <mergeCell ref="G1089:X1089"/>
    <mergeCell ref="B1090:B1091"/>
    <mergeCell ref="C1090:D1090"/>
    <mergeCell ref="F1090:BE1090"/>
    <mergeCell ref="BF1090:BI1090"/>
    <mergeCell ref="BJ1090:BK1090"/>
    <mergeCell ref="BN1090:BO1090"/>
    <mergeCell ref="B1040:E1042"/>
    <mergeCell ref="F1041:AT1041"/>
    <mergeCell ref="BF1041:BO1041"/>
    <mergeCell ref="G1042:X1042"/>
    <mergeCell ref="B1043:B1044"/>
    <mergeCell ref="C1043:D1043"/>
    <mergeCell ref="F1043:BE1043"/>
    <mergeCell ref="BF1043:BI1043"/>
    <mergeCell ref="BJ1043:BK1043"/>
    <mergeCell ref="BN1043:BO1043"/>
    <mergeCell ref="B993:E995"/>
    <mergeCell ref="F994:AT994"/>
    <mergeCell ref="BF994:BO994"/>
    <mergeCell ref="G995:X995"/>
    <mergeCell ref="B996:B997"/>
    <mergeCell ref="C996:D996"/>
    <mergeCell ref="F996:BE996"/>
    <mergeCell ref="BF996:BI996"/>
    <mergeCell ref="BJ996:BK996"/>
    <mergeCell ref="BN996:BO996"/>
    <mergeCell ref="B946:E948"/>
    <mergeCell ref="F947:AT947"/>
    <mergeCell ref="BF947:BO947"/>
    <mergeCell ref="G948:X948"/>
    <mergeCell ref="B949:B950"/>
    <mergeCell ref="C949:D949"/>
    <mergeCell ref="F949:BE949"/>
    <mergeCell ref="BF949:BI949"/>
    <mergeCell ref="BJ949:BK949"/>
    <mergeCell ref="BN949:BO949"/>
    <mergeCell ref="B898:E900"/>
    <mergeCell ref="F899:AT899"/>
    <mergeCell ref="BF899:BO899"/>
    <mergeCell ref="G900:X900"/>
    <mergeCell ref="B901:B902"/>
    <mergeCell ref="C901:D901"/>
    <mergeCell ref="F901:BE901"/>
    <mergeCell ref="BF901:BI901"/>
    <mergeCell ref="BJ901:BK901"/>
    <mergeCell ref="BN901:BO901"/>
    <mergeCell ref="B851:E853"/>
    <mergeCell ref="F852:AT852"/>
    <mergeCell ref="BF852:BO852"/>
    <mergeCell ref="G853:X853"/>
    <mergeCell ref="B854:B855"/>
    <mergeCell ref="C854:D854"/>
    <mergeCell ref="F854:BE854"/>
    <mergeCell ref="BF854:BI854"/>
    <mergeCell ref="BJ854:BK854"/>
    <mergeCell ref="BN854:BO854"/>
    <mergeCell ref="B804:E806"/>
    <mergeCell ref="F805:AT805"/>
    <mergeCell ref="BF805:BO805"/>
    <mergeCell ref="G806:X806"/>
    <mergeCell ref="B807:B808"/>
    <mergeCell ref="C807:D807"/>
    <mergeCell ref="F807:BE807"/>
    <mergeCell ref="BF807:BI807"/>
    <mergeCell ref="BJ807:BK807"/>
    <mergeCell ref="BN807:BO807"/>
    <mergeCell ref="B757:E759"/>
    <mergeCell ref="F758:AT758"/>
    <mergeCell ref="BF758:BO758"/>
    <mergeCell ref="G759:X759"/>
    <mergeCell ref="B760:B761"/>
    <mergeCell ref="C760:D760"/>
    <mergeCell ref="F760:BE760"/>
    <mergeCell ref="BF760:BI760"/>
    <mergeCell ref="BJ760:BK760"/>
    <mergeCell ref="BN760:BO760"/>
    <mergeCell ref="B709:E711"/>
    <mergeCell ref="F710:X710"/>
    <mergeCell ref="BF710:BO710"/>
    <mergeCell ref="G711:X711"/>
    <mergeCell ref="B712:B713"/>
    <mergeCell ref="C712:D712"/>
    <mergeCell ref="F712:BE712"/>
    <mergeCell ref="BF712:BI712"/>
    <mergeCell ref="BJ712:BK712"/>
    <mergeCell ref="BN712:BO712"/>
    <mergeCell ref="B657:E659"/>
    <mergeCell ref="F658:X658"/>
    <mergeCell ref="BF658:BO658"/>
    <mergeCell ref="G659:X659"/>
    <mergeCell ref="B660:B661"/>
    <mergeCell ref="C660:D660"/>
    <mergeCell ref="F660:BE660"/>
    <mergeCell ref="BF660:BI660"/>
    <mergeCell ref="BJ660:BK660"/>
    <mergeCell ref="BN660:BO660"/>
    <mergeCell ref="B601:E603"/>
    <mergeCell ref="F602:X602"/>
    <mergeCell ref="BF602:BO602"/>
    <mergeCell ref="G603:X603"/>
    <mergeCell ref="B604:B605"/>
    <mergeCell ref="C604:D604"/>
    <mergeCell ref="F604:BE604"/>
    <mergeCell ref="BF604:BI604"/>
    <mergeCell ref="BJ604:BK604"/>
    <mergeCell ref="BN604:BO604"/>
    <mergeCell ref="B541:E543"/>
    <mergeCell ref="F542:X542"/>
    <mergeCell ref="BF542:BO542"/>
    <mergeCell ref="G543:X543"/>
    <mergeCell ref="B544:B545"/>
    <mergeCell ref="C544:D544"/>
    <mergeCell ref="F544:BE544"/>
    <mergeCell ref="BF544:BI544"/>
    <mergeCell ref="BJ544:BK544"/>
    <mergeCell ref="BN544:BO544"/>
    <mergeCell ref="B480:E482"/>
    <mergeCell ref="F481:X481"/>
    <mergeCell ref="BF481:BO481"/>
    <mergeCell ref="G482:X482"/>
    <mergeCell ref="B483:B484"/>
    <mergeCell ref="C483:D483"/>
    <mergeCell ref="F483:BE483"/>
    <mergeCell ref="BF483:BI483"/>
    <mergeCell ref="BJ483:BK483"/>
    <mergeCell ref="BN483:BO483"/>
    <mergeCell ref="B424:E426"/>
    <mergeCell ref="F425:X425"/>
    <mergeCell ref="BF425:BO425"/>
    <mergeCell ref="G426:X426"/>
    <mergeCell ref="B427:B428"/>
    <mergeCell ref="C427:D427"/>
    <mergeCell ref="F427:BE427"/>
    <mergeCell ref="BF427:BI427"/>
    <mergeCell ref="BJ427:BK427"/>
    <mergeCell ref="BN427:BO427"/>
    <mergeCell ref="B377:E379"/>
    <mergeCell ref="F378:AT378"/>
    <mergeCell ref="BF378:BO378"/>
    <mergeCell ref="G379:X379"/>
    <mergeCell ref="B380:B381"/>
    <mergeCell ref="C380:D380"/>
    <mergeCell ref="F380:BE380"/>
    <mergeCell ref="BF380:BI380"/>
    <mergeCell ref="BJ380:BK380"/>
    <mergeCell ref="BN380:BO380"/>
    <mergeCell ref="B331:E333"/>
    <mergeCell ref="F332:AT332"/>
    <mergeCell ref="BF332:BO332"/>
    <mergeCell ref="G333:X333"/>
    <mergeCell ref="B334:B335"/>
    <mergeCell ref="C334:D334"/>
    <mergeCell ref="F334:BE334"/>
    <mergeCell ref="BF334:BI334"/>
    <mergeCell ref="BJ334:BK334"/>
    <mergeCell ref="BN334:BO334"/>
    <mergeCell ref="B284:E286"/>
    <mergeCell ref="F285:AT285"/>
    <mergeCell ref="BF285:BO285"/>
    <mergeCell ref="G286:X286"/>
    <mergeCell ref="B287:B288"/>
    <mergeCell ref="C287:D287"/>
    <mergeCell ref="F287:BE287"/>
    <mergeCell ref="BF287:BI287"/>
    <mergeCell ref="BJ287:BK287"/>
    <mergeCell ref="BN287:BO287"/>
    <mergeCell ref="B237:E239"/>
    <mergeCell ref="F238:AT238"/>
    <mergeCell ref="BF238:BO238"/>
    <mergeCell ref="G239:X239"/>
    <mergeCell ref="B240:B241"/>
    <mergeCell ref="C240:D240"/>
    <mergeCell ref="F240:BE240"/>
    <mergeCell ref="BF240:BI240"/>
    <mergeCell ref="BJ240:BK240"/>
    <mergeCell ref="BN240:BO240"/>
    <mergeCell ref="B190:E192"/>
    <mergeCell ref="F191:AT191"/>
    <mergeCell ref="BF191:BO191"/>
    <mergeCell ref="G192:X192"/>
    <mergeCell ref="B193:B194"/>
    <mergeCell ref="C193:D193"/>
    <mergeCell ref="F193:BE193"/>
    <mergeCell ref="BF193:BI193"/>
    <mergeCell ref="BJ193:BK193"/>
    <mergeCell ref="BN193:BO193"/>
    <mergeCell ref="B143:E145"/>
    <mergeCell ref="F144:AT144"/>
    <mergeCell ref="BF144:BO144"/>
    <mergeCell ref="G145:X145"/>
    <mergeCell ref="B146:B147"/>
    <mergeCell ref="C146:D146"/>
    <mergeCell ref="F146:BE146"/>
    <mergeCell ref="BF146:BI146"/>
    <mergeCell ref="BJ146:BK146"/>
    <mergeCell ref="BN146:BO146"/>
    <mergeCell ref="B96:E98"/>
    <mergeCell ref="F97:AT97"/>
    <mergeCell ref="BF97:BO97"/>
    <mergeCell ref="G98:X98"/>
    <mergeCell ref="B99:B100"/>
    <mergeCell ref="C99:D99"/>
    <mergeCell ref="F99:BE99"/>
    <mergeCell ref="BF99:BI99"/>
    <mergeCell ref="BJ99:BK99"/>
    <mergeCell ref="BN99:BO99"/>
    <mergeCell ref="B52:B53"/>
    <mergeCell ref="C52:D52"/>
    <mergeCell ref="F52:BE52"/>
    <mergeCell ref="BF52:BI52"/>
    <mergeCell ref="BJ52:BK52"/>
    <mergeCell ref="BN52:BO52"/>
    <mergeCell ref="BN4:BO4"/>
    <mergeCell ref="BS7:BV7"/>
    <mergeCell ref="BQ8:BV8"/>
    <mergeCell ref="B49:E51"/>
    <mergeCell ref="F50:AT50"/>
    <mergeCell ref="BF50:BO50"/>
    <mergeCell ref="G51:X51"/>
    <mergeCell ref="B1:E3"/>
    <mergeCell ref="F2:AT2"/>
    <mergeCell ref="G3:X3"/>
    <mergeCell ref="B4:B5"/>
    <mergeCell ref="C4:D4"/>
    <mergeCell ref="F4:BE4"/>
    <mergeCell ref="BF2:BO2"/>
    <mergeCell ref="BF4:BI4"/>
    <mergeCell ref="BJ4:B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2025-05-10T17:03:24Z</dcterms:modified>
</cp:coreProperties>
</file>